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come Statement" sheetId="1" state="visible" r:id="rId3"/>
    <sheet name="Balance Sheet" sheetId="2" state="visible" r:id="rId4"/>
    <sheet name="Cash Flow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<sst xmlns="http://schemas.openxmlformats.org/spreadsheetml/2006/main" count="243" uniqueCount="231">
  <si>
    <t xml:space="preserve">INCOME STATEMENT</t>
  </si>
  <si>
    <t xml:space="preserve">($ thousands)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</si>
  <si>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</si>
  <si>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</si>
  <si>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</si>
  <si>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</si>
  <si>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</si>
  <si>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REVENUE BY GEOGRAPHY &amp; PRODUCT</t>
  </si>
  <si>
    <t xml:space="preserve">North America</t>
  </si>
  <si>
    <t xml:space="preserve">  Enterprise Hardware - NA</t>
  </si>
  <si>
    <t xml:space="preserve">  SMB Hardware - NA</t>
  </si>
  <si>
    <t xml:space="preserve">  Accessories - NA</t>
  </si>
  <si>
    <t xml:space="preserve">  Maintenance Contracts - NA</t>
  </si>
  <si>
    <t xml:space="preserve">  Professional Services - NA</t>
  </si>
  <si>
    <t xml:space="preserve">  Training - NA</t>
  </si>
  <si>
    <t xml:space="preserve">Total North America</t>
  </si>
  <si>
    <t xml:space="preserve">EMEA</t>
  </si>
  <si>
    <t xml:space="preserve">  Enterprise Hardware - EMEA</t>
  </si>
  <si>
    <t xml:space="preserve">  SMB Hardware - EMEA</t>
  </si>
  <si>
    <t xml:space="preserve">  Accessories - EMEA</t>
  </si>
  <si>
    <t xml:space="preserve">  Maintenance Contracts - EMEA</t>
  </si>
  <si>
    <t xml:space="preserve">  Professional Services - EMEA</t>
  </si>
  <si>
    <t xml:space="preserve">  Training - EMEA</t>
  </si>
  <si>
    <t xml:space="preserve">Total EMEA</t>
  </si>
  <si>
    <t xml:space="preserve">APAC</t>
  </si>
  <si>
    <t xml:space="preserve">  Enterprise Hardware - APAC</t>
  </si>
  <si>
    <t xml:space="preserve">  SMB Hardware - APAC</t>
  </si>
  <si>
    <t xml:space="preserve">  Accessories - APAC</t>
  </si>
  <si>
    <t xml:space="preserve">  Maintenance Contracts - APAC</t>
  </si>
  <si>
    <t xml:space="preserve">  Professional Services - APAC</t>
  </si>
  <si>
    <t xml:space="preserve">  Training - APAC</t>
  </si>
  <si>
    <t xml:space="preserve">Total APAC</t>
  </si>
  <si>
    <t xml:space="preserve">Other Markets</t>
  </si>
  <si>
    <t xml:space="preserve">  Enterprise Hardware - Other</t>
  </si>
  <si>
    <t xml:space="preserve">  SMB Hardware - Other</t>
  </si>
  <si>
    <t xml:space="preserve">  Accessories - Other</t>
  </si>
  <si>
    <t xml:space="preserve">  Maintenance Contracts - Other</t>
  </si>
  <si>
    <t xml:space="preserve">  Professional Services - Other</t>
  </si>
  <si>
    <t xml:space="preserve">  Training - Other</t>
  </si>
  <si>
    <t xml:space="preserve">Total Other Markets</t>
  </si>
  <si>
    <t xml:space="preserve">PRODUCT LINE SUMMARY</t>
  </si>
  <si>
    <t xml:space="preserve">Total Enterprise Hardware</t>
  </si>
  <si>
    <t xml:space="preserve">Total SMB Hardware</t>
  </si>
  <si>
    <t xml:space="preserve">Total Accessories</t>
  </si>
  <si>
    <t xml:space="preserve">Total Product Revenue</t>
  </si>
  <si>
    <t xml:space="preserve">Total Maintenance Contracts</t>
  </si>
  <si>
    <t xml:space="preserve">Total Professional Services</t>
  </si>
  <si>
    <t xml:space="preserve">Total Training</t>
  </si>
  <si>
    <t xml:space="preserve">Total Service Revenue</t>
  </si>
  <si>
    <t xml:space="preserve">TOTAL REVENUE</t>
  </si>
  <si>
    <t xml:space="preserve">COST OF REVENUE</t>
  </si>
  <si>
    <t xml:space="preserve">Product COGS by Component</t>
  </si>
  <si>
    <t xml:space="preserve">  Direct Materials - Semiconductors</t>
  </si>
  <si>
    <t xml:space="preserve">  Direct Materials - PCB &amp; Components</t>
  </si>
  <si>
    <t xml:space="preserve">  Direct Materials - Housing &amp; Packaging</t>
  </si>
  <si>
    <t xml:space="preserve">  Direct Labor - Assembly</t>
  </si>
  <si>
    <t xml:space="preserve">  Direct Labor - Testing &amp; QA</t>
  </si>
  <si>
    <t xml:space="preserve">  Manufacturing Overhead - Facilities</t>
  </si>
  <si>
    <t xml:space="preserve">  Manufacturing Overhead - Equipment Depreciation</t>
  </si>
  <si>
    <t xml:space="preserve">  Logistics &amp; Freight</t>
  </si>
  <si>
    <t xml:space="preserve">Total Product COGS</t>
  </si>
  <si>
    <t xml:space="preserve">Service COGS by Component</t>
  </si>
  <si>
    <t xml:space="preserve">  Service Technician Labor</t>
  </si>
  <si>
    <t xml:space="preserve">  Service Engineer Labor</t>
  </si>
  <si>
    <t xml:space="preserve">  Service Parts &amp; Materials</t>
  </si>
  <si>
    <t xml:space="preserve">  Service Travel &amp; Expenses</t>
  </si>
  <si>
    <t xml:space="preserve">Total Service COGS</t>
  </si>
  <si>
    <t xml:space="preserve">TOTAL COST OF REVENUE</t>
  </si>
  <si>
    <t xml:space="preserve">GROSS PROFIT</t>
  </si>
  <si>
    <t xml:space="preserve">Gross Margin %</t>
  </si>
  <si>
    <t xml:space="preserve">OPERATING EXPENSES</t>
  </si>
  <si>
    <t xml:space="preserve">Sales &amp; Marketing</t>
  </si>
  <si>
    <t xml:space="preserve">  Field Sales Compensation</t>
  </si>
  <si>
    <t xml:space="preserve">  Inside Sales Compensation</t>
  </si>
  <si>
    <t xml:space="preserve">  Channel Partner Commissions</t>
  </si>
  <si>
    <t xml:space="preserve">  Digital Marketing &amp; Advertising</t>
  </si>
  <si>
    <t xml:space="preserve">  Events &amp; Trade Shows</t>
  </si>
  <si>
    <t xml:space="preserve">  Marketing Operations</t>
  </si>
  <si>
    <t xml:space="preserve">  Customer Success Team</t>
  </si>
  <si>
    <t xml:space="preserve">Total Sales &amp; Marketing</t>
  </si>
  <si>
    <t xml:space="preserve">Research &amp; Development</t>
  </si>
  <si>
    <t xml:space="preserve">  Hardware Engineering Salaries</t>
  </si>
  <si>
    <t xml:space="preserve">  Software Engineering Salaries</t>
  </si>
  <si>
    <t xml:space="preserve">  Product Management</t>
  </si>
  <si>
    <t xml:space="preserve">  Prototyping &amp; Testing Materials</t>
  </si>
  <si>
    <t xml:space="preserve">  Cloud Infrastructure &amp; SaaS Tools</t>
  </si>
  <si>
    <t xml:space="preserve">  Certifications &amp; Compliance</t>
  </si>
  <si>
    <t xml:space="preserve">Total Research &amp; Development</t>
  </si>
  <si>
    <t xml:space="preserve">General &amp; Administrative</t>
  </si>
  <si>
    <t xml:space="preserve">  Executive Compensation</t>
  </si>
  <si>
    <t xml:space="preserve">  Finance &amp; Accounting</t>
  </si>
  <si>
    <t xml:space="preserve">  Human Resources</t>
  </si>
  <si>
    <t xml:space="preserve">  Legal &amp; Compliance</t>
  </si>
  <si>
    <t xml:space="preserve">  Facilities &amp; Real Estate</t>
  </si>
  <si>
    <t xml:space="preserve">  IT &amp; Corporate Systems</t>
  </si>
  <si>
    <t xml:space="preserve">  Insurance &amp; Risk Management</t>
  </si>
  <si>
    <t xml:space="preserve">  Professional Services &amp; Consulting</t>
  </si>
  <si>
    <t xml:space="preserve">Total General &amp; Administrative</t>
  </si>
  <si>
    <t xml:space="preserve">TOTAL OPERATING EXPENSES</t>
  </si>
  <si>
    <t xml:space="preserve">OPERATING INCOME (EBIT)</t>
  </si>
  <si>
    <t xml:space="preserve">Operating Margin %</t>
  </si>
  <si>
    <t xml:space="preserve">OTHER INCOME (EXPENSE)</t>
  </si>
  <si>
    <t xml:space="preserve">  Interest Expense</t>
  </si>
  <si>
    <t xml:space="preserve">  Interest Income</t>
  </si>
  <si>
    <t xml:space="preserve">  Foreign Exchange Gain (Loss)</t>
  </si>
  <si>
    <t xml:space="preserve">  Other, net</t>
  </si>
  <si>
    <t xml:space="preserve">Total Other Income (Expense)</t>
  </si>
  <si>
    <t xml:space="preserve">INCOME BEFORE TAX</t>
  </si>
  <si>
    <t xml:space="preserve">Income Tax Expense</t>
  </si>
  <si>
    <t xml:space="preserve">Effective Tax Rate %</t>
  </si>
  <si>
    <t xml:space="preserve">NET INCOME</t>
  </si>
  <si>
    <t xml:space="preserve">Net Margin %</t>
  </si>
  <si>
    <t xml:space="preserve">BALANCE SHEET</t>
  </si>
  <si>
    <t xml:space="preserve">ASSETS</t>
  </si>
  <si>
    <t xml:space="preserve">Current Assets</t>
  </si>
  <si>
    <t xml:space="preserve">  Cash and Cash Equivalents</t>
  </si>
  <si>
    <t xml:space="preserve">  Marketable Securities - Short Term</t>
  </si>
  <si>
    <t xml:space="preserve">Accounts Receivable</t>
  </si>
  <si>
    <t xml:space="preserve">    Trade Receivables - NA</t>
  </si>
  <si>
    <t xml:space="preserve">    Trade Receivables - EMEA</t>
  </si>
  <si>
    <t xml:space="preserve">    Trade Receivables - APAC</t>
  </si>
  <si>
    <t xml:space="preserve">    Trade Receivables - Other</t>
  </si>
  <si>
    <t xml:space="preserve">    Unbilled Receivables</t>
  </si>
  <si>
    <t xml:space="preserve">    Allowance for Doubtful Accounts</t>
  </si>
  <si>
    <t xml:space="preserve">  Accounts Receivable, net</t>
  </si>
  <si>
    <t xml:space="preserve">Inventory</t>
  </si>
  <si>
    <t xml:space="preserve">    Raw Materials</t>
  </si>
  <si>
    <t xml:space="preserve">    Work in Process</t>
  </si>
  <si>
    <t xml:space="preserve">    Finished Goods</t>
  </si>
  <si>
    <t xml:space="preserve">    Inventory Reserve</t>
  </si>
  <si>
    <t xml:space="preserve">  Total Inventory, net</t>
  </si>
  <si>
    <t xml:space="preserve">  Prepaid Expenses</t>
  </si>
  <si>
    <t xml:space="preserve">  Other Current Assets</t>
  </si>
  <si>
    <t xml:space="preserve">TOTAL CURRENT ASSETS</t>
  </si>
  <si>
    <t xml:space="preserve">Non-Current Assets</t>
  </si>
  <si>
    <t xml:space="preserve">Property, Plant &amp; Equipment</t>
  </si>
  <si>
    <t xml:space="preserve">    Land</t>
  </si>
  <si>
    <t xml:space="preserve">    Buildings</t>
  </si>
  <si>
    <t xml:space="preserve">    Machinery &amp; Equipment</t>
  </si>
  <si>
    <t xml:space="preserve">    Computer Equipment &amp; Software</t>
  </si>
  <si>
    <t xml:space="preserve">    Furniture &amp; Fixtures</t>
  </si>
  <si>
    <t xml:space="preserve">  Total PP&amp;E, Gross</t>
  </si>
  <si>
    <t xml:space="preserve">    Less: Accumulated Depreciation</t>
  </si>
  <si>
    <t xml:space="preserve">  Net PP&amp;E</t>
  </si>
  <si>
    <t xml:space="preserve">  Intangible Assets, net</t>
  </si>
  <si>
    <t xml:space="preserve">  Goodwill</t>
  </si>
  <si>
    <t xml:space="preserve">  Deferred Tax Assets</t>
  </si>
  <si>
    <t xml:space="preserve">  Long-Term Investments</t>
  </si>
  <si>
    <t xml:space="preserve">  Other Non-Current Assets</t>
  </si>
  <si>
    <t xml:space="preserve">TOTAL NON-CURRENT ASSETS</t>
  </si>
  <si>
    <t xml:space="preserve">TOTAL ASSETS</t>
  </si>
  <si>
    <t xml:space="preserve">LIABILITIES AND EQUITY</t>
  </si>
  <si>
    <t xml:space="preserve">Current Liabilities</t>
  </si>
  <si>
    <t xml:space="preserve">  Accounts Payable</t>
  </si>
  <si>
    <t xml:space="preserve">Accrued Liabilities</t>
  </si>
  <si>
    <t xml:space="preserve">    Accrued Compensation</t>
  </si>
  <si>
    <t xml:space="preserve">    Accrued Sales Commissions</t>
  </si>
  <si>
    <t xml:space="preserve">    Accrued Operating Expenses</t>
  </si>
  <si>
    <t xml:space="preserve">  Total Accrued Liabilities</t>
  </si>
  <si>
    <t xml:space="preserve">  Deferred Revenue - Current</t>
  </si>
  <si>
    <t xml:space="preserve">  Current Portion of LT Debt</t>
  </si>
  <si>
    <t xml:space="preserve">  Other Current Liabilities</t>
  </si>
  <si>
    <t xml:space="preserve">TOTAL CURRENT LIABILITIES</t>
  </si>
  <si>
    <t xml:space="preserve">Non-Current Liabilities</t>
  </si>
  <si>
    <t xml:space="preserve">Long-Term Debt</t>
  </si>
  <si>
    <t xml:space="preserve">    Term Loan A</t>
  </si>
  <si>
    <t xml:space="preserve">    Senior Notes 2028</t>
  </si>
  <si>
    <t xml:space="preserve">    Revolving Credit Facility</t>
  </si>
  <si>
    <t xml:space="preserve">  Total Long-Term Debt</t>
  </si>
  <si>
    <t xml:space="preserve">  Deferred Tax Liabilities</t>
  </si>
  <si>
    <t xml:space="preserve">  Pension &amp; Other Post-Retirement Benefits</t>
  </si>
  <si>
    <t xml:space="preserve">  Other Long-Term Liabilities</t>
  </si>
  <si>
    <t xml:space="preserve">TOTAL NON-CURRENT LIABILITIES</t>
  </si>
  <si>
    <t xml:space="preserve">TOTAL LIABILITIES</t>
  </si>
  <si>
    <t xml:space="preserve">Shareholders Equity</t>
  </si>
  <si>
    <t xml:space="preserve">  Common Stock ($0.01 par, 100M authorized)</t>
  </si>
  <si>
    <t xml:space="preserve">  Additional Paid-In Capital</t>
  </si>
  <si>
    <t xml:space="preserve">  Retained Earnings</t>
  </si>
  <si>
    <t xml:space="preserve">  Accumulated Other Comprehensive Income</t>
  </si>
  <si>
    <t xml:space="preserve">  Treasury Stock</t>
  </si>
  <si>
    <t xml:space="preserve">TOTAL SHAREHOLDERS EQUITY</t>
  </si>
  <si>
    <t xml:space="preserve">TOTAL LIABILITIES AND EQUITY</t>
  </si>
  <si>
    <t xml:space="preserve">Balance Check (Should be Zero)</t>
  </si>
  <si>
    <t xml:space="preserve">CASH FLOW STATEMENT</t>
  </si>
  <si>
    <t xml:space="preserve">CASH FROM OPERATING ACTIVITIES</t>
  </si>
  <si>
    <t xml:space="preserve">Net Income</t>
  </si>
  <si>
    <t xml:space="preserve">Adjustments to Reconcile Net Income:</t>
  </si>
  <si>
    <t xml:space="preserve">  Depreciation &amp; Amortization</t>
  </si>
  <si>
    <t xml:space="preserve">  Deferred Income Taxes</t>
  </si>
  <si>
    <t xml:space="preserve">  Stock-Based Compensation</t>
  </si>
  <si>
    <t xml:space="preserve">  Inventory Write-Downs</t>
  </si>
  <si>
    <t xml:space="preserve">  Bad Debt Expense</t>
  </si>
  <si>
    <t xml:space="preserve">Changes in Operating Assets &amp; Liabilities:</t>
  </si>
  <si>
    <t xml:space="preserve">  (Increase) Decrease in AR</t>
  </si>
  <si>
    <t xml:space="preserve">  (Increase) Decrease in Inventory</t>
  </si>
  <si>
    <t xml:space="preserve">  (Increase) Decrease in Prepaid Expenses</t>
  </si>
  <si>
    <t xml:space="preserve">  (Increase) Decrease in Other CA</t>
  </si>
  <si>
    <t xml:space="preserve">  Increase (Decrease) in AP</t>
  </si>
  <si>
    <t xml:space="preserve">  Increase (Decrease) in Accrued Liabilities</t>
  </si>
  <si>
    <t xml:space="preserve">  Increase (Decrease) in Deferred Revenue</t>
  </si>
  <si>
    <t xml:space="preserve">NET CASH FROM OPERATING ACTIVITIES</t>
  </si>
  <si>
    <t xml:space="preserve">CASH FROM INVESTING ACTIVITIES</t>
  </si>
  <si>
    <t xml:space="preserve">Capital Expenditures by Asset Type:</t>
  </si>
  <si>
    <t xml:space="preserve">  Buildings CapEx</t>
  </si>
  <si>
    <t xml:space="preserve">  Machinery &amp; Equipment CapEx</t>
  </si>
  <si>
    <t xml:space="preserve">  Computer Equipment CapEx</t>
  </si>
  <si>
    <t xml:space="preserve">  Furniture &amp; Fixtures CapEx</t>
  </si>
  <si>
    <t xml:space="preserve">Total Capital Expenditures</t>
  </si>
  <si>
    <t xml:space="preserve">Purchase of Marketable Securities</t>
  </si>
  <si>
    <t xml:space="preserve">Proceeds from Sale of Securities</t>
  </si>
  <si>
    <t xml:space="preserve">Acquisitions, net of cash acquired</t>
  </si>
  <si>
    <t xml:space="preserve">Investments in Affiliates</t>
  </si>
  <si>
    <t xml:space="preserve">NET CASH FROM INVESTING ACTIVITIES</t>
  </si>
  <si>
    <t xml:space="preserve">CASH FROM FINANCING ACTIVITIES</t>
  </si>
  <si>
    <t xml:space="preserve">Debt Activities:</t>
  </si>
  <si>
    <t xml:space="preserve">  Proceeds from Term Loan</t>
  </si>
  <si>
    <t xml:space="preserve">  Repayment of Term Loan</t>
  </si>
  <si>
    <t xml:space="preserve">  Proceeds from Senior Notes</t>
  </si>
  <si>
    <t xml:space="preserve">  Repayment of Senior Notes</t>
  </si>
  <si>
    <t xml:space="preserve">  Net Borrowings (Repayments) on Revolver</t>
  </si>
  <si>
    <t xml:space="preserve">  Debt Issuance Costs</t>
  </si>
  <si>
    <t xml:space="preserve">Equity Activities:</t>
  </si>
  <si>
    <t xml:space="preserve">  Proceeds from Stock Issuance</t>
  </si>
  <si>
    <t xml:space="preserve">  Proceeds from Option Exercises</t>
  </si>
  <si>
    <t xml:space="preserve">  Stock Buybacks</t>
  </si>
  <si>
    <t xml:space="preserve">  Dividends Paid</t>
  </si>
  <si>
    <t xml:space="preserve">NET CASH FROM FINANCING ACTIVITIES</t>
  </si>
  <si>
    <t xml:space="preserve">NET CHANGE IN CASH</t>
  </si>
  <si>
    <t xml:space="preserve">Cash at Beginning of Period</t>
  </si>
  <si>
    <t xml:space="preserve">CASH AT END OF PERIOD</t>
  </si>
  <si>
    <t xml:space="preserve">Cash Reconciliation Check (Should be Zero)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</si>
</sst>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\$#,##0;&quot;($&quot;#,##0\)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0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  <font>
      <b val="true"/>
      <sz val="11"/>
      <color rgb="FF00000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3"/>
      <name val="Cambria"/>
      <family val="0"/>
      <charset val="1"/>
    </font>
    <font>
      <b val="true"/>
      <sz val="12"/>
      <color rgb="FF000000"/>
      <name val="Cambria"/>
      <family val="0"/>
      <charset val="1"/>
    </font>
    <font>
      <sz val="11"/>
      <color rgb="FF008000"/>
      <name val="Cambria"/>
      <family val="0"/>
      <charset val="1"/>
    </font>
    <font>
      <b val="true"/>
      <sz val="11"/>
      <color rgb="FFFF0000"/>
      <name val="Cambria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9E1F2"/>
      </patternFill>
    </fill>
    <fill>
      <patternFill patternType="solid">
        <fgColor rgb="FF4472C4"/>
        <bgColor rgb="FF666699"/>
      </patternFill>
    </fill>
    <fill>
      <patternFill patternType="solid">
        <fgColor rgb="FFD9E1F2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C6E0B4"/>
        <bgColor rgb="FFD9E1F2"/>
      </patternFill>
    </fill>
    <fill>
      <patternFill patternType="solid">
        <fgColor rgb="FF92D050"/>
        <bgColor rgb="FFC6E0B4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double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8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4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1" width="42"/>
    <col collapsed="false" customWidth="true" hidden="false" outlineLevel="0" max="6" min="2" style="1" width="16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6" customFormat="false" ht="15" hidden="false" customHeight="true" outlineLevel="0" collapsed="false">
      <c r="A6" s="5" t="s">
        <v>7</v>
      </c>
      <c r="B6" s="5"/>
      <c r="C6" s="5"/>
      <c r="D6" s="5"/>
      <c r="E6" s="5"/>
      <c r="F6" s="5"/>
      <c r="G6" s="5"/>
    </row>
    <row r="7" customFormat="false" ht="15" hidden="false" customHeight="true" outlineLevel="2" collapsed="false">
      <c r="A7" s="6" t="s">
        <v>8</v>
      </c>
      <c r="B7" s="6"/>
      <c r="C7" s="6"/>
      <c r="D7" s="6"/>
      <c r="E7" s="6"/>
      <c r="F7" s="6"/>
      <c r="G7" s="6"/>
    </row>
    <row r="8" customFormat="false" ht="15" hidden="false" customHeight="true" outlineLevel="2" collapsed="false">
      <c r="A8" s="1" t="s">
        <v>9</v>
      </c>
      <c r="B8" s="7" t="n">
        <v>3117.6</v>
      </c>
      <c r="C8" s="7" t="n">
        <v>3491.712</v>
      </c>
      <c r="D8" s="7" t="n">
        <v>4015.4688</v>
      </c>
      <c r="E8" s="7" t="n">
        <v>4617.78912</v>
      </c>
      <c r="F8" s="7" t="n">
        <v>5310.51984</v>
      </c>
    </row>
    <row r="9" customFormat="false" ht="15" hidden="false" customHeight="true" outlineLevel="2" collapsed="false">
      <c r="A9" s="1" t="s">
        <v>10</v>
      </c>
      <c r="B9" s="7" t="n">
        <v>1080</v>
      </c>
      <c r="C9" s="7" t="n">
        <v>1209.6</v>
      </c>
      <c r="D9" s="7" t="n">
        <v>1391.04</v>
      </c>
      <c r="E9" s="7" t="n">
        <v>1599.696</v>
      </c>
      <c r="F9" s="7" t="n">
        <v>1839.672</v>
      </c>
    </row>
    <row r="10" customFormat="false" ht="15" hidden="false" customHeight="true" outlineLevel="2" collapsed="false">
      <c r="A10" s="1" t="s">
        <v>11</v>
      </c>
      <c r="B10" s="7" t="n">
        <v>482.4</v>
      </c>
      <c r="C10" s="7" t="n">
        <v>540.288</v>
      </c>
      <c r="D10" s="7" t="n">
        <v>621.3312</v>
      </c>
      <c r="E10" s="7" t="n">
        <v>714.53088</v>
      </c>
      <c r="F10" s="7" t="n">
        <v>821.72016</v>
      </c>
    </row>
    <row r="11" customFormat="false" ht="15" hidden="false" customHeight="true" outlineLevel="2" collapsed="false">
      <c r="A11" s="1" t="s">
        <v>12</v>
      </c>
      <c r="B11" s="7" t="n">
        <v>1512</v>
      </c>
      <c r="C11" s="7" t="n">
        <v>1693.44</v>
      </c>
      <c r="D11" s="7" t="n">
        <v>1947.456</v>
      </c>
      <c r="E11" s="7" t="n">
        <v>2239.5744</v>
      </c>
      <c r="F11" s="7" t="n">
        <v>2575.5408</v>
      </c>
    </row>
    <row r="12" customFormat="false" ht="15" hidden="false" customHeight="true" outlineLevel="2" collapsed="false">
      <c r="A12" s="1" t="s">
        <v>13</v>
      </c>
      <c r="B12" s="7" t="n">
        <v>756</v>
      </c>
      <c r="C12" s="7" t="n">
        <v>846.72</v>
      </c>
      <c r="D12" s="7" t="n">
        <v>973.728</v>
      </c>
      <c r="E12" s="7" t="n">
        <v>1119.7872</v>
      </c>
      <c r="F12" s="7" t="n">
        <v>1287.7704</v>
      </c>
    </row>
    <row r="13" customFormat="false" ht="15" hidden="false" customHeight="true" outlineLevel="2" collapsed="false">
      <c r="A13" s="1" t="s">
        <v>14</v>
      </c>
      <c r="B13" s="7" t="n">
        <v>252</v>
      </c>
      <c r="C13" s="7" t="n">
        <v>282.24</v>
      </c>
      <c r="D13" s="7" t="n">
        <v>324.576</v>
      </c>
      <c r="E13" s="7" t="n">
        <v>373.2624</v>
      </c>
      <c r="F13" s="7" t="n">
        <v>429.2568</v>
      </c>
    </row>
    <row r="14" customFormat="false" ht="15" hidden="false" customHeight="true" outlineLevel="2" collapsed="false">
      <c r="A14" s="8" t="s">
        <v>15</v>
      </c>
      <c r="B14" s="9" t="n">
        <f aca="false">SUM(B8:B13)</f>
        <v>7200</v>
      </c>
      <c r="C14" s="9" t="n">
        <f aca="false">SUM(C8:C13)</f>
        <v>8064</v>
      </c>
      <c r="D14" s="9" t="n">
        <f aca="false">SUM(D8:D13)</f>
        <v>9273.6</v>
      </c>
      <c r="E14" s="9" t="n">
        <f aca="false">SUM(E8:E13)</f>
        <v>10664.64</v>
      </c>
      <c r="F14" s="9" t="n">
        <f aca="false">SUM(F8:F13)</f>
        <v>12264.48</v>
      </c>
    </row>
    <row r="15" customFormat="false" ht="15" hidden="false" customHeight="true" outlineLevel="2" collapsed="false">
      <c r="A15" s="6" t="s">
        <v>16</v>
      </c>
      <c r="B15" s="6"/>
      <c r="C15" s="6"/>
      <c r="D15" s="6"/>
      <c r="E15" s="6"/>
      <c r="F15" s="6"/>
      <c r="G15" s="6"/>
    </row>
    <row r="16" customFormat="false" ht="15" hidden="false" customHeight="true" outlineLevel="2" collapsed="false">
      <c r="A16" s="1" t="s">
        <v>17</v>
      </c>
      <c r="B16" s="7" t="n">
        <v>1818.6</v>
      </c>
      <c r="C16" s="7" t="n">
        <v>2036.832</v>
      </c>
      <c r="D16" s="7" t="n">
        <v>2342.3568</v>
      </c>
      <c r="E16" s="7" t="n">
        <v>2693.71032</v>
      </c>
      <c r="F16" s="7" t="n">
        <v>3097.80324</v>
      </c>
    </row>
    <row r="17" customFormat="false" ht="15" hidden="false" customHeight="true" outlineLevel="2" collapsed="false">
      <c r="A17" s="1" t="s">
        <v>18</v>
      </c>
      <c r="B17" s="7" t="n">
        <v>630</v>
      </c>
      <c r="C17" s="7" t="n">
        <v>705.6</v>
      </c>
      <c r="D17" s="7" t="n">
        <v>811.44</v>
      </c>
      <c r="E17" s="7" t="n">
        <v>933.156</v>
      </c>
      <c r="F17" s="7" t="n">
        <v>1073.142</v>
      </c>
    </row>
    <row r="18" customFormat="false" ht="15" hidden="false" customHeight="true" outlineLevel="2" collapsed="false">
      <c r="A18" s="1" t="s">
        <v>19</v>
      </c>
      <c r="B18" s="7" t="n">
        <v>281.4</v>
      </c>
      <c r="C18" s="7" t="n">
        <v>315.168</v>
      </c>
      <c r="D18" s="7" t="n">
        <v>362.4432</v>
      </c>
      <c r="E18" s="7" t="n">
        <v>416.80968</v>
      </c>
      <c r="F18" s="7" t="n">
        <v>479.33676</v>
      </c>
    </row>
    <row r="19" customFormat="false" ht="15" hidden="false" customHeight="true" outlineLevel="2" collapsed="false">
      <c r="A19" s="1" t="s">
        <v>20</v>
      </c>
      <c r="B19" s="7" t="n">
        <v>882</v>
      </c>
      <c r="C19" s="7" t="n">
        <v>987.84</v>
      </c>
      <c r="D19" s="7" t="n">
        <v>1136.016</v>
      </c>
      <c r="E19" s="7" t="n">
        <v>1306.4184</v>
      </c>
      <c r="F19" s="7" t="n">
        <v>1502.3988</v>
      </c>
    </row>
    <row r="20" customFormat="false" ht="15" hidden="false" customHeight="true" outlineLevel="2" collapsed="false">
      <c r="A20" s="1" t="s">
        <v>21</v>
      </c>
      <c r="B20" s="7" t="n">
        <v>441</v>
      </c>
      <c r="C20" s="7" t="n">
        <v>493.92</v>
      </c>
      <c r="D20" s="7" t="n">
        <v>568.008</v>
      </c>
      <c r="E20" s="7" t="n">
        <v>653.2092</v>
      </c>
      <c r="F20" s="7" t="n">
        <v>751.1994</v>
      </c>
    </row>
    <row r="21" customFormat="false" ht="15" hidden="false" customHeight="true" outlineLevel="2" collapsed="false">
      <c r="A21" s="1" t="s">
        <v>22</v>
      </c>
      <c r="B21" s="7" t="n">
        <v>147</v>
      </c>
      <c r="C21" s="7" t="n">
        <v>164.64</v>
      </c>
      <c r="D21" s="7" t="n">
        <v>189.336</v>
      </c>
      <c r="E21" s="7" t="n">
        <v>217.7364</v>
      </c>
      <c r="F21" s="7" t="n">
        <v>250.3998</v>
      </c>
    </row>
    <row r="22" customFormat="false" ht="15" hidden="false" customHeight="true" outlineLevel="2" collapsed="false">
      <c r="A22" s="8" t="s">
        <v>23</v>
      </c>
      <c r="B22" s="9" t="n">
        <f aca="false">SUM(B16:B21)</f>
        <v>4200</v>
      </c>
      <c r="C22" s="9" t="n">
        <f aca="false">SUM(C16:C21)</f>
        <v>4704</v>
      </c>
      <c r="D22" s="9" t="n">
        <f aca="false">SUM(D16:D21)</f>
        <v>5409.6</v>
      </c>
      <c r="E22" s="9" t="n">
        <f aca="false">SUM(E16:E21)</f>
        <v>6221.04</v>
      </c>
      <c r="F22" s="9" t="n">
        <f aca="false">SUM(F16:F21)</f>
        <v>7154.28</v>
      </c>
    </row>
    <row r="23" customFormat="false" ht="15" hidden="false" customHeight="true" outlineLevel="2" collapsed="false">
      <c r="A23" s="6" t="s">
        <v>24</v>
      </c>
      <c r="B23" s="6"/>
      <c r="C23" s="6"/>
      <c r="D23" s="6"/>
      <c r="E23" s="6"/>
      <c r="F23" s="6"/>
      <c r="G23" s="6"/>
    </row>
    <row r="24" customFormat="false" ht="15" hidden="false" customHeight="true" outlineLevel="2" collapsed="false">
      <c r="A24" s="1" t="s">
        <v>25</v>
      </c>
      <c r="B24" s="7" t="n">
        <v>1169.1</v>
      </c>
      <c r="C24" s="7" t="n">
        <v>1309.392</v>
      </c>
      <c r="D24" s="7" t="n">
        <v>1505.8008</v>
      </c>
      <c r="E24" s="7" t="n">
        <v>1731.67092</v>
      </c>
      <c r="F24" s="7" t="n">
        <v>1991.44494</v>
      </c>
    </row>
    <row r="25" customFormat="false" ht="15" hidden="false" customHeight="true" outlineLevel="2" collapsed="false">
      <c r="A25" s="1" t="s">
        <v>26</v>
      </c>
      <c r="B25" s="7" t="n">
        <v>405</v>
      </c>
      <c r="C25" s="7" t="n">
        <v>453.6</v>
      </c>
      <c r="D25" s="7" t="n">
        <v>521.64</v>
      </c>
      <c r="E25" s="7" t="n">
        <v>599.886</v>
      </c>
      <c r="F25" s="7" t="n">
        <v>689.877</v>
      </c>
    </row>
    <row r="26" customFormat="false" ht="15" hidden="false" customHeight="true" outlineLevel="2" collapsed="false">
      <c r="A26" s="1" t="s">
        <v>27</v>
      </c>
      <c r="B26" s="7" t="n">
        <v>180.9</v>
      </c>
      <c r="C26" s="7" t="n">
        <v>202.608</v>
      </c>
      <c r="D26" s="7" t="n">
        <v>232.9992</v>
      </c>
      <c r="E26" s="7" t="n">
        <v>267.94908</v>
      </c>
      <c r="F26" s="7" t="n">
        <v>308.14506</v>
      </c>
    </row>
    <row r="27" customFormat="false" ht="15" hidden="false" customHeight="true" outlineLevel="2" collapsed="false">
      <c r="A27" s="1" t="s">
        <v>28</v>
      </c>
      <c r="B27" s="7" t="n">
        <v>567</v>
      </c>
      <c r="C27" s="7" t="n">
        <v>635.04</v>
      </c>
      <c r="D27" s="7" t="n">
        <v>730.296</v>
      </c>
      <c r="E27" s="7" t="n">
        <v>839.8404</v>
      </c>
      <c r="F27" s="7" t="n">
        <v>965.8278</v>
      </c>
    </row>
    <row r="28" customFormat="false" ht="15" hidden="false" customHeight="true" outlineLevel="2" collapsed="false">
      <c r="A28" s="1" t="s">
        <v>29</v>
      </c>
      <c r="B28" s="7" t="n">
        <v>283.5</v>
      </c>
      <c r="C28" s="7" t="n">
        <v>317.52</v>
      </c>
      <c r="D28" s="7" t="n">
        <v>365.148</v>
      </c>
      <c r="E28" s="7" t="n">
        <v>419.9202</v>
      </c>
      <c r="F28" s="7" t="n">
        <v>482.9139</v>
      </c>
    </row>
    <row r="29" customFormat="false" ht="15" hidden="false" customHeight="true" outlineLevel="2" collapsed="false">
      <c r="A29" s="1" t="s">
        <v>30</v>
      </c>
      <c r="B29" s="7" t="n">
        <v>94.5</v>
      </c>
      <c r="C29" s="7" t="n">
        <v>105.84</v>
      </c>
      <c r="D29" s="7" t="n">
        <v>121.716</v>
      </c>
      <c r="E29" s="7" t="n">
        <v>139.9734</v>
      </c>
      <c r="F29" s="7" t="n">
        <v>160.9713</v>
      </c>
    </row>
    <row r="30" customFormat="false" ht="15" hidden="false" customHeight="true" outlineLevel="2" collapsed="false">
      <c r="A30" s="8" t="s">
        <v>31</v>
      </c>
      <c r="B30" s="9" t="n">
        <f aca="false">SUM(B24:B29)</f>
        <v>2700</v>
      </c>
      <c r="C30" s="9" t="n">
        <f aca="false">SUM(C24:C29)</f>
        <v>3024</v>
      </c>
      <c r="D30" s="9" t="n">
        <f aca="false">SUM(D24:D29)</f>
        <v>3477.6</v>
      </c>
      <c r="E30" s="9" t="n">
        <f aca="false">SUM(E24:E29)</f>
        <v>3999.24</v>
      </c>
      <c r="F30" s="9" t="n">
        <f aca="false">SUM(F24:F29)</f>
        <v>4599.18</v>
      </c>
    </row>
    <row r="31" customFormat="false" ht="15" hidden="false" customHeight="true" outlineLevel="2" collapsed="false">
      <c r="A31" s="6" t="s">
        <v>32</v>
      </c>
      <c r="B31" s="6"/>
      <c r="C31" s="6"/>
      <c r="D31" s="6"/>
      <c r="E31" s="6"/>
      <c r="F31" s="6"/>
      <c r="G31" s="6"/>
    </row>
    <row r="32" customFormat="false" ht="15" hidden="false" customHeight="true" outlineLevel="2" collapsed="false">
      <c r="A32" s="1" t="s">
        <v>33</v>
      </c>
      <c r="B32" s="7" t="n">
        <v>389.7</v>
      </c>
      <c r="C32" s="7" t="n">
        <v>436.464</v>
      </c>
      <c r="D32" s="7" t="n">
        <v>501.9336</v>
      </c>
      <c r="E32" s="7" t="n">
        <v>577.22364</v>
      </c>
      <c r="F32" s="7" t="n">
        <v>663.81498</v>
      </c>
    </row>
    <row r="33" customFormat="false" ht="15" hidden="false" customHeight="true" outlineLevel="2" collapsed="false">
      <c r="A33" s="1" t="s">
        <v>34</v>
      </c>
      <c r="B33" s="7" t="n">
        <v>135</v>
      </c>
      <c r="C33" s="7" t="n">
        <v>151.2</v>
      </c>
      <c r="D33" s="7" t="n">
        <v>173.88</v>
      </c>
      <c r="E33" s="7" t="n">
        <v>199.962</v>
      </c>
      <c r="F33" s="7" t="n">
        <v>229.959</v>
      </c>
    </row>
    <row r="34" customFormat="false" ht="15" hidden="false" customHeight="true" outlineLevel="2" collapsed="false">
      <c r="A34" s="1" t="s">
        <v>35</v>
      </c>
      <c r="B34" s="7" t="n">
        <v>60.3</v>
      </c>
      <c r="C34" s="7" t="n">
        <v>67.536</v>
      </c>
      <c r="D34" s="7" t="n">
        <v>77.6664</v>
      </c>
      <c r="E34" s="7" t="n">
        <v>89.31636</v>
      </c>
      <c r="F34" s="7" t="n">
        <v>102.71502</v>
      </c>
    </row>
    <row r="35" customFormat="false" ht="15" hidden="false" customHeight="true" outlineLevel="2" collapsed="false">
      <c r="A35" s="1" t="s">
        <v>36</v>
      </c>
      <c r="B35" s="7" t="n">
        <v>189</v>
      </c>
      <c r="C35" s="7" t="n">
        <v>211.68</v>
      </c>
      <c r="D35" s="7" t="n">
        <v>243.432</v>
      </c>
      <c r="E35" s="7" t="n">
        <v>279.9468</v>
      </c>
      <c r="F35" s="7" t="n">
        <v>321.9426</v>
      </c>
    </row>
    <row r="36" customFormat="false" ht="15" hidden="false" customHeight="true" outlineLevel="2" collapsed="false">
      <c r="A36" s="1" t="s">
        <v>37</v>
      </c>
      <c r="B36" s="7" t="n">
        <v>94.5</v>
      </c>
      <c r="C36" s="7" t="n">
        <v>105.84</v>
      </c>
      <c r="D36" s="7" t="n">
        <v>121.716</v>
      </c>
      <c r="E36" s="7" t="n">
        <v>139.9734</v>
      </c>
      <c r="F36" s="7" t="n">
        <v>160.9713</v>
      </c>
    </row>
    <row r="37" customFormat="false" ht="15" hidden="false" customHeight="true" outlineLevel="2" collapsed="false">
      <c r="A37" s="1" t="s">
        <v>38</v>
      </c>
      <c r="B37" s="7" t="n">
        <v>31.5</v>
      </c>
      <c r="C37" s="7" t="n">
        <v>35.28</v>
      </c>
      <c r="D37" s="7" t="n">
        <v>40.572</v>
      </c>
      <c r="E37" s="7" t="n">
        <v>46.6578</v>
      </c>
      <c r="F37" s="7" t="n">
        <v>53.6571</v>
      </c>
    </row>
    <row r="38" customFormat="false" ht="15" hidden="false" customHeight="true" outlineLevel="2" collapsed="false">
      <c r="A38" s="8" t="s">
        <v>39</v>
      </c>
      <c r="B38" s="9" t="n">
        <f aca="false">SUM(B32:B37)</f>
        <v>900</v>
      </c>
      <c r="C38" s="9" t="n">
        <f aca="false">SUM(C32:C37)</f>
        <v>1008</v>
      </c>
      <c r="D38" s="9" t="n">
        <f aca="false">SUM(D32:D37)</f>
        <v>1159.2</v>
      </c>
      <c r="E38" s="9" t="n">
        <f aca="false">SUM(E32:E37)</f>
        <v>1333.08</v>
      </c>
      <c r="F38" s="9" t="n">
        <f aca="false">SUM(F32:F37)</f>
        <v>1533.06</v>
      </c>
    </row>
    <row r="39" customFormat="false" ht="15" hidden="false" customHeight="true" outlineLevel="2" collapsed="false">
      <c r="A39" s="6" t="s">
        <v>40</v>
      </c>
      <c r="B39" s="6"/>
      <c r="C39" s="6"/>
      <c r="D39" s="6"/>
      <c r="E39" s="6"/>
      <c r="F39" s="6"/>
      <c r="G39" s="6"/>
    </row>
    <row r="40" customFormat="false" ht="15" hidden="false" customHeight="true" outlineLevel="1" collapsed="false">
      <c r="A40" s="8" t="s">
        <v>41</v>
      </c>
      <c r="B40" s="9" t="n">
        <f aca="false">B8+B16+B24+B32</f>
        <v>6495</v>
      </c>
      <c r="C40" s="9" t="n">
        <f aca="false">C8+C16+C24+C32</f>
        <v>7274.4</v>
      </c>
      <c r="D40" s="9" t="n">
        <f aca="false">D8+D16+D24+D32</f>
        <v>8365.56</v>
      </c>
      <c r="E40" s="9" t="n">
        <f aca="false">E8+E16+E24+E32</f>
        <v>9620.394</v>
      </c>
      <c r="F40" s="9" t="n">
        <f aca="false">F8+F16+F24+F32</f>
        <v>11063.583</v>
      </c>
    </row>
    <row r="41" customFormat="false" ht="15" hidden="false" customHeight="true" outlineLevel="1" collapsed="false">
      <c r="A41" s="8" t="s">
        <v>42</v>
      </c>
      <c r="B41" s="9" t="n">
        <f aca="false">B9+B17+B25+B33</f>
        <v>2250</v>
      </c>
      <c r="C41" s="9" t="n">
        <f aca="false">C9+C17+C25+C33</f>
        <v>2520</v>
      </c>
      <c r="D41" s="9" t="n">
        <f aca="false">D9+D17+D25+D33</f>
        <v>2898</v>
      </c>
      <c r="E41" s="9" t="n">
        <f aca="false">E9+E17+E25+E33</f>
        <v>3332.7</v>
      </c>
      <c r="F41" s="9" t="n">
        <f aca="false">F9+F17+F25+F33</f>
        <v>3832.65</v>
      </c>
    </row>
    <row r="42" customFormat="false" ht="15" hidden="false" customHeight="true" outlineLevel="1" collapsed="false">
      <c r="A42" s="8" t="s">
        <v>43</v>
      </c>
      <c r="B42" s="9" t="n">
        <f aca="false">B10+B18+B26+B34</f>
        <v>1005</v>
      </c>
      <c r="C42" s="9" t="n">
        <f aca="false">C10+C18+C26+C34</f>
        <v>1125.6</v>
      </c>
      <c r="D42" s="9" t="n">
        <f aca="false">D10+D18+D26+D34</f>
        <v>1294.44</v>
      </c>
      <c r="E42" s="9" t="n">
        <f aca="false">E10+E18+E26+E34</f>
        <v>1488.606</v>
      </c>
      <c r="F42" s="9" t="n">
        <f aca="false">F10+F18+F26+F34</f>
        <v>1711.917</v>
      </c>
    </row>
    <row r="43" customFormat="false" ht="15" hidden="false" customHeight="true" outlineLevel="1" collapsed="false">
      <c r="A43" s="8" t="s">
        <v>44</v>
      </c>
      <c r="B43" s="10" t="n">
        <f aca="false">SUM(B40:B42)</f>
        <v>9750</v>
      </c>
      <c r="C43" s="10" t="n">
        <f aca="false">SUM(C40:C42)</f>
        <v>10920</v>
      </c>
      <c r="D43" s="10" t="n">
        <f aca="false">SUM(D40:D42)</f>
        <v>12558</v>
      </c>
      <c r="E43" s="10" t="n">
        <f aca="false">SUM(E40:E42)</f>
        <v>14441.7</v>
      </c>
      <c r="F43" s="10" t="n">
        <f aca="false">SUM(F40:F42)</f>
        <v>16608.15</v>
      </c>
    </row>
    <row r="44" customFormat="false" ht="15" hidden="false" customHeight="true" outlineLevel="1" collapsed="false">
      <c r="A44" s="8" t="s">
        <v>45</v>
      </c>
      <c r="B44" s="9" t="n">
        <f aca="false">B11+B19+B27+B35</f>
        <v>3150</v>
      </c>
      <c r="C44" s="9" t="n">
        <f aca="false">C11+C19+C27+C35</f>
        <v>3528</v>
      </c>
      <c r="D44" s="9" t="n">
        <f aca="false">D11+D19+D27+D35</f>
        <v>4057.2</v>
      </c>
      <c r="E44" s="9" t="n">
        <f aca="false">E11+E19+E27+E35</f>
        <v>4665.78</v>
      </c>
      <c r="F44" s="9" t="n">
        <f aca="false">F11+F19+F27+F35</f>
        <v>5365.71</v>
      </c>
    </row>
    <row r="45" customFormat="false" ht="15" hidden="false" customHeight="true" outlineLevel="1" collapsed="false">
      <c r="A45" s="8" t="s">
        <v>46</v>
      </c>
      <c r="B45" s="9" t="n">
        <f aca="false">B12+B20+B28+B36</f>
        <v>1575</v>
      </c>
      <c r="C45" s="9" t="n">
        <f aca="false">C12+C20+C28+C36</f>
        <v>1764</v>
      </c>
      <c r="D45" s="9" t="n">
        <f aca="false">D12+D20+D28+D36</f>
        <v>2028.6</v>
      </c>
      <c r="E45" s="9" t="n">
        <f aca="false">E12+E20+E28+E36</f>
        <v>2332.89</v>
      </c>
      <c r="F45" s="9" t="n">
        <f aca="false">F12+F20+F28+F36</f>
        <v>2682.855</v>
      </c>
    </row>
    <row r="46" customFormat="false" ht="15" hidden="false" customHeight="true" outlineLevel="1" collapsed="false">
      <c r="A46" s="8" t="s">
        <v>47</v>
      </c>
      <c r="B46" s="9" t="n">
        <f aca="false">B13+B21+B29+B37</f>
        <v>525</v>
      </c>
      <c r="C46" s="9" t="n">
        <f aca="false">C13+C21+C29+C37</f>
        <v>588</v>
      </c>
      <c r="D46" s="9" t="n">
        <f aca="false">D13+D21+D29+D37</f>
        <v>676.2</v>
      </c>
      <c r="E46" s="9" t="n">
        <f aca="false">E13+E21+E29+E37</f>
        <v>777.63</v>
      </c>
      <c r="F46" s="9" t="n">
        <f aca="false">F13+F21+F29+F37</f>
        <v>894.285</v>
      </c>
    </row>
    <row r="47" customFormat="false" ht="15" hidden="false" customHeight="true" outlineLevel="1" collapsed="false">
      <c r="A47" s="8" t="s">
        <v>48</v>
      </c>
      <c r="B47" s="10" t="n">
        <f aca="false">SUM(B44:B46)</f>
        <v>5250</v>
      </c>
      <c r="C47" s="10" t="n">
        <f aca="false">SUM(C44:C46)</f>
        <v>5880</v>
      </c>
      <c r="D47" s="10" t="n">
        <f aca="false">SUM(D44:D46)</f>
        <v>6762</v>
      </c>
      <c r="E47" s="10" t="n">
        <f aca="false">SUM(E44:E46)</f>
        <v>7776.3</v>
      </c>
      <c r="F47" s="10" t="n">
        <f aca="false">SUM(F44:F46)</f>
        <v>8942.85</v>
      </c>
    </row>
    <row r="48" customFormat="false" ht="15" hidden="false" customHeight="true" outlineLevel="0" collapsed="false">
      <c r="A48" s="11" t="s">
        <v>49</v>
      </c>
      <c r="B48" s="12" t="n">
        <f aca="false">B43+B47</f>
        <v>15000</v>
      </c>
      <c r="C48" s="12" t="n">
        <f aca="false">C43+C47</f>
        <v>16800</v>
      </c>
      <c r="D48" s="12" t="n">
        <f aca="false">D43+D47</f>
        <v>19320</v>
      </c>
      <c r="E48" s="12" t="n">
        <f aca="false">E43+E47</f>
        <v>22218</v>
      </c>
      <c r="F48" s="12" t="n">
        <f aca="false">F43+F47</f>
        <v>25551</v>
      </c>
    </row>
    <row r="50" customFormat="false" ht="15" hidden="false" customHeight="true" outlineLevel="0" collapsed="false">
      <c r="A50" s="5" t="s">
        <v>50</v>
      </c>
      <c r="B50" s="5"/>
      <c r="C50" s="5"/>
      <c r="D50" s="5"/>
      <c r="E50" s="5"/>
      <c r="F50" s="5"/>
      <c r="G50" s="5"/>
    </row>
    <row r="51" customFormat="false" ht="15" hidden="false" customHeight="true" outlineLevel="0" collapsed="false">
      <c r="A51" s="6" t="s">
        <v>51</v>
      </c>
      <c r="B51" s="6"/>
      <c r="C51" s="6"/>
      <c r="D51" s="6"/>
      <c r="E51" s="6"/>
      <c r="F51" s="6"/>
      <c r="G51" s="6"/>
    </row>
    <row r="52" customFormat="false" ht="15" hidden="false" customHeight="true" outlineLevel="1" collapsed="false">
      <c r="A52" s="1" t="s">
        <v>52</v>
      </c>
      <c r="B52" s="13" t="n">
        <f aca="false">B43*0.18</f>
        <v>1755</v>
      </c>
      <c r="C52" s="13" t="n">
        <f aca="false">C43*0.18</f>
        <v>1965.6</v>
      </c>
      <c r="D52" s="13" t="n">
        <f aca="false">D43*0.18</f>
        <v>2260.44</v>
      </c>
      <c r="E52" s="13" t="n">
        <f aca="false">E43*0.18</f>
        <v>2599.506</v>
      </c>
      <c r="F52" s="13" t="n">
        <f aca="false">F43*0.18</f>
        <v>2989.467</v>
      </c>
    </row>
    <row r="53" customFormat="false" ht="15" hidden="false" customHeight="true" outlineLevel="1" collapsed="false">
      <c r="A53" s="1" t="s">
        <v>53</v>
      </c>
      <c r="B53" s="13" t="n">
        <f aca="false">B43*0.1</f>
        <v>975</v>
      </c>
      <c r="C53" s="13" t="n">
        <f aca="false">C43*0.1</f>
        <v>1092</v>
      </c>
      <c r="D53" s="13" t="n">
        <f aca="false">D43*0.1</f>
        <v>1255.8</v>
      </c>
      <c r="E53" s="13" t="n">
        <f aca="false">E43*0.1</f>
        <v>1444.17</v>
      </c>
      <c r="F53" s="13" t="n">
        <f aca="false">F43*0.1</f>
        <v>1660.815</v>
      </c>
    </row>
    <row r="54" customFormat="false" ht="15" hidden="false" customHeight="true" outlineLevel="1" collapsed="false">
      <c r="A54" s="1" t="s">
        <v>54</v>
      </c>
      <c r="B54" s="13" t="n">
        <f aca="false">B43*0.04</f>
        <v>390</v>
      </c>
      <c r="C54" s="13" t="n">
        <f aca="false">C43*0.04</f>
        <v>436.8</v>
      </c>
      <c r="D54" s="13" t="n">
        <f aca="false">D43*0.04</f>
        <v>502.32</v>
      </c>
      <c r="E54" s="13" t="n">
        <f aca="false">E43*0.04</f>
        <v>577.668</v>
      </c>
      <c r="F54" s="13" t="n">
        <f aca="false">F43*0.04</f>
        <v>664.326</v>
      </c>
    </row>
    <row r="55" customFormat="false" ht="15" hidden="false" customHeight="true" outlineLevel="1" collapsed="false">
      <c r="A55" s="1" t="s">
        <v>55</v>
      </c>
      <c r="B55" s="13" t="n">
        <f aca="false">B43*0.08</f>
        <v>780</v>
      </c>
      <c r="C55" s="13" t="n">
        <f aca="false">C43*0.08</f>
        <v>873.6</v>
      </c>
      <c r="D55" s="13" t="n">
        <f aca="false">D43*0.08</f>
        <v>1004.64</v>
      </c>
      <c r="E55" s="13" t="n">
        <f aca="false">E43*0.08</f>
        <v>1155.336</v>
      </c>
      <c r="F55" s="13" t="n">
        <f aca="false">F43*0.08</f>
        <v>1328.652</v>
      </c>
    </row>
    <row r="56" customFormat="false" ht="15" hidden="false" customHeight="true" outlineLevel="1" collapsed="false">
      <c r="A56" s="1" t="s">
        <v>56</v>
      </c>
      <c r="B56" s="13" t="n">
        <f aca="false">B43*0.04</f>
        <v>390</v>
      </c>
      <c r="C56" s="13" t="n">
        <f aca="false">C43*0.04</f>
        <v>436.8</v>
      </c>
      <c r="D56" s="13" t="n">
        <f aca="false">D43*0.04</f>
        <v>502.32</v>
      </c>
      <c r="E56" s="13" t="n">
        <f aca="false">E43*0.04</f>
        <v>577.668</v>
      </c>
      <c r="F56" s="13" t="n">
        <f aca="false">F43*0.04</f>
        <v>664.326</v>
      </c>
    </row>
    <row r="57" customFormat="false" ht="15" hidden="false" customHeight="true" outlineLevel="1" collapsed="false">
      <c r="A57" s="1" t="s">
        <v>57</v>
      </c>
      <c r="B57" s="13" t="n">
        <f aca="false">B43*0.04</f>
        <v>390</v>
      </c>
      <c r="C57" s="13" t="n">
        <f aca="false">C43*0.04</f>
        <v>436.8</v>
      </c>
      <c r="D57" s="13" t="n">
        <f aca="false">D43*0.04</f>
        <v>502.32</v>
      </c>
      <c r="E57" s="13" t="n">
        <f aca="false">E43*0.04</f>
        <v>577.668</v>
      </c>
      <c r="F57" s="13" t="n">
        <f aca="false">F43*0.04</f>
        <v>664.326</v>
      </c>
    </row>
    <row r="58" customFormat="false" ht="15" hidden="false" customHeight="true" outlineLevel="1" collapsed="false">
      <c r="A58" s="1" t="s">
        <v>58</v>
      </c>
      <c r="B58" s="13" t="n">
        <f aca="false">B43*0.03</f>
        <v>292.5</v>
      </c>
      <c r="C58" s="13" t="n">
        <f aca="false">C43*0.03</f>
        <v>327.6</v>
      </c>
      <c r="D58" s="13" t="n">
        <f aca="false">D43*0.03</f>
        <v>376.74</v>
      </c>
      <c r="E58" s="13" t="n">
        <f aca="false">E43*0.03</f>
        <v>433.251</v>
      </c>
      <c r="F58" s="13" t="n">
        <f aca="false">F43*0.03</f>
        <v>498.2445</v>
      </c>
    </row>
    <row r="59" customFormat="false" ht="15" hidden="false" customHeight="true" outlineLevel="1" collapsed="false">
      <c r="A59" s="1" t="s">
        <v>59</v>
      </c>
      <c r="B59" s="13" t="n">
        <f aca="false">B43*0.01</f>
        <v>97.5</v>
      </c>
      <c r="C59" s="13" t="n">
        <f aca="false">C43*0.01</f>
        <v>109.2</v>
      </c>
      <c r="D59" s="13" t="n">
        <f aca="false">D43*0.01</f>
        <v>125.58</v>
      </c>
      <c r="E59" s="13" t="n">
        <f aca="false">E43*0.01</f>
        <v>144.417</v>
      </c>
      <c r="F59" s="13" t="n">
        <f aca="false">F43*0.01</f>
        <v>166.0815</v>
      </c>
    </row>
    <row r="60" customFormat="false" ht="15" hidden="false" customHeight="true" outlineLevel="0" collapsed="false">
      <c r="A60" s="8" t="s">
        <v>60</v>
      </c>
      <c r="B60" s="10" t="n">
        <f aca="false">SUM(B52:B59)</f>
        <v>5070</v>
      </c>
      <c r="C60" s="10" t="n">
        <f aca="false">SUM(C52:C59)</f>
        <v>5678.4</v>
      </c>
      <c r="D60" s="10" t="n">
        <f aca="false">SUM(D52:D59)</f>
        <v>6530.16</v>
      </c>
      <c r="E60" s="10" t="n">
        <f aca="false">SUM(E52:E59)</f>
        <v>7509.684</v>
      </c>
      <c r="F60" s="10" t="n">
        <f aca="false">SUM(F52:F59)</f>
        <v>8636.238</v>
      </c>
    </row>
    <row r="61" customFormat="false" ht="15" hidden="false" customHeight="true" outlineLevel="0" collapsed="false">
      <c r="A61" s="6" t="s">
        <v>61</v>
      </c>
      <c r="B61" s="6"/>
      <c r="C61" s="6"/>
      <c r="D61" s="6"/>
      <c r="E61" s="6"/>
      <c r="F61" s="6"/>
      <c r="G61" s="6"/>
    </row>
    <row r="62" customFormat="false" ht="15" hidden="false" customHeight="true" outlineLevel="1" collapsed="false">
      <c r="A62" s="1" t="s">
        <v>62</v>
      </c>
      <c r="B62" s="13" t="n">
        <f aca="false">B47*0.14</f>
        <v>735</v>
      </c>
      <c r="C62" s="13" t="n">
        <f aca="false">C47*0.14</f>
        <v>823.2</v>
      </c>
      <c r="D62" s="13" t="n">
        <f aca="false">D47*0.14</f>
        <v>946.68</v>
      </c>
      <c r="E62" s="13" t="n">
        <f aca="false">E47*0.14</f>
        <v>1088.682</v>
      </c>
      <c r="F62" s="13" t="n">
        <f aca="false">F47*0.14</f>
        <v>1251.999</v>
      </c>
    </row>
    <row r="63" customFormat="false" ht="15" hidden="false" customHeight="true" outlineLevel="1" collapsed="false">
      <c r="A63" s="1" t="s">
        <v>63</v>
      </c>
      <c r="B63" s="13" t="n">
        <f aca="false">B47*0.08</f>
        <v>420</v>
      </c>
      <c r="C63" s="13" t="n">
        <f aca="false">C47*0.08</f>
        <v>470.4</v>
      </c>
      <c r="D63" s="13" t="n">
        <f aca="false">D47*0.08</f>
        <v>540.96</v>
      </c>
      <c r="E63" s="13" t="n">
        <f aca="false">E47*0.08</f>
        <v>622.104</v>
      </c>
      <c r="F63" s="13" t="n">
        <f aca="false">F47*0.08</f>
        <v>715.428</v>
      </c>
    </row>
    <row r="64" customFormat="false" ht="15" hidden="false" customHeight="true" outlineLevel="1" collapsed="false">
      <c r="A64" s="1" t="s">
        <v>64</v>
      </c>
      <c r="B64" s="13" t="n">
        <f aca="false">B47*0.04</f>
        <v>210</v>
      </c>
      <c r="C64" s="13" t="n">
        <f aca="false">C47*0.04</f>
        <v>235.2</v>
      </c>
      <c r="D64" s="13" t="n">
        <f aca="false">D47*0.04</f>
        <v>270.48</v>
      </c>
      <c r="E64" s="13" t="n">
        <f aca="false">E47*0.04</f>
        <v>311.052</v>
      </c>
      <c r="F64" s="13" t="n">
        <f aca="false">F47*0.04</f>
        <v>357.714</v>
      </c>
    </row>
    <row r="65" customFormat="false" ht="15" hidden="false" customHeight="true" outlineLevel="1" collapsed="false">
      <c r="A65" s="1" t="s">
        <v>65</v>
      </c>
      <c r="B65" s="13" t="n">
        <f aca="false">B47*0.02</f>
        <v>105</v>
      </c>
      <c r="C65" s="13" t="n">
        <f aca="false">C47*0.02</f>
        <v>117.6</v>
      </c>
      <c r="D65" s="13" t="n">
        <f aca="false">D47*0.02</f>
        <v>135.24</v>
      </c>
      <c r="E65" s="13" t="n">
        <f aca="false">E47*0.02</f>
        <v>155.526</v>
      </c>
      <c r="F65" s="13" t="n">
        <f aca="false">F47*0.02</f>
        <v>178.857</v>
      </c>
    </row>
    <row r="66" customFormat="false" ht="15" hidden="false" customHeight="true" outlineLevel="0" collapsed="false">
      <c r="A66" s="8" t="s">
        <v>66</v>
      </c>
      <c r="B66" s="10" t="n">
        <f aca="false">SUM(B62:B65)</f>
        <v>1470</v>
      </c>
      <c r="C66" s="10" t="n">
        <f aca="false">SUM(C62:C65)</f>
        <v>1646.4</v>
      </c>
      <c r="D66" s="10" t="n">
        <f aca="false">SUM(D62:D65)</f>
        <v>1893.36</v>
      </c>
      <c r="E66" s="10" t="n">
        <f aca="false">SUM(E62:E65)</f>
        <v>2177.364</v>
      </c>
      <c r="F66" s="10" t="n">
        <f aca="false">SUM(F62:F65)</f>
        <v>2503.998</v>
      </c>
    </row>
    <row r="67" customFormat="false" ht="15" hidden="false" customHeight="true" outlineLevel="0" collapsed="false">
      <c r="A67" s="11" t="s">
        <v>67</v>
      </c>
      <c r="B67" s="12" t="n">
        <f aca="false">B60+B66</f>
        <v>6540</v>
      </c>
      <c r="C67" s="12" t="n">
        <f aca="false">C60+C66</f>
        <v>7324.8</v>
      </c>
      <c r="D67" s="12" t="n">
        <f aca="false">D60+D66</f>
        <v>8423.52</v>
      </c>
      <c r="E67" s="12" t="n">
        <f aca="false">E60+E66</f>
        <v>9687.048</v>
      </c>
      <c r="F67" s="12" t="n">
        <f aca="false">F60+F66</f>
        <v>11140.236</v>
      </c>
    </row>
    <row r="69" customFormat="false" ht="15" hidden="false" customHeight="true" outlineLevel="0" collapsed="false">
      <c r="A69" s="11" t="s">
        <v>68</v>
      </c>
      <c r="B69" s="14" t="n">
        <f aca="false">B48-B67</f>
        <v>8460</v>
      </c>
      <c r="C69" s="14" t="n">
        <f aca="false">C48-C67</f>
        <v>9475.2</v>
      </c>
      <c r="D69" s="14" t="n">
        <f aca="false">D48-D67</f>
        <v>10896.48</v>
      </c>
      <c r="E69" s="14" t="n">
        <f aca="false">E48-E67</f>
        <v>12530.952</v>
      </c>
      <c r="F69" s="14" t="n">
        <f aca="false">F48-F67</f>
        <v>14410.764</v>
      </c>
    </row>
    <row r="70" customFormat="false" ht="15" hidden="false" customHeight="true" outlineLevel="0" collapsed="false">
      <c r="A70" s="1" t="s">
        <v>69</v>
      </c>
      <c r="B70" s="13" t="n">
        <f aca="false">B69/B48</f>
        <v>0.564</v>
      </c>
      <c r="C70" s="13" t="n">
        <f aca="false">C69/C48</f>
        <v>0.564</v>
      </c>
      <c r="D70" s="13" t="n">
        <f aca="false">D69/D48</f>
        <v>0.564</v>
      </c>
      <c r="E70" s="13" t="n">
        <f aca="false">E69/E48</f>
        <v>0.564</v>
      </c>
      <c r="F70" s="13" t="n">
        <f aca="false">F69/F48</f>
        <v>0.564</v>
      </c>
    </row>
    <row r="72" customFormat="false" ht="15" hidden="false" customHeight="true" outlineLevel="0" collapsed="false">
      <c r="A72" s="5" t="s">
        <v>70</v>
      </c>
      <c r="B72" s="5"/>
      <c r="C72" s="5"/>
      <c r="D72" s="5"/>
      <c r="E72" s="5"/>
      <c r="F72" s="5"/>
      <c r="G72" s="5"/>
    </row>
    <row r="73" customFormat="false" ht="15" hidden="false" customHeight="true" outlineLevel="0" collapsed="false">
      <c r="A73" s="6" t="s">
        <v>71</v>
      </c>
      <c r="B73" s="6"/>
      <c r="C73" s="6"/>
      <c r="D73" s="6"/>
      <c r="E73" s="6"/>
      <c r="F73" s="6"/>
      <c r="G73" s="6"/>
    </row>
    <row r="74" customFormat="false" ht="15" hidden="false" customHeight="true" outlineLevel="1" collapsed="false">
      <c r="A74" s="1" t="s">
        <v>72</v>
      </c>
      <c r="B74" s="13" t="n">
        <f aca="false">B48*0.065</f>
        <v>975</v>
      </c>
      <c r="C74" s="13" t="n">
        <f aca="false">C48*0.065</f>
        <v>1092</v>
      </c>
      <c r="D74" s="13" t="n">
        <f aca="false">D48*0.065</f>
        <v>1255.8</v>
      </c>
      <c r="E74" s="13" t="n">
        <f aca="false">E48*0.065</f>
        <v>1444.17</v>
      </c>
      <c r="F74" s="13" t="n">
        <f aca="false">F48*0.065</f>
        <v>1660.815</v>
      </c>
    </row>
    <row r="75" customFormat="false" ht="15" hidden="false" customHeight="true" outlineLevel="1" collapsed="false">
      <c r="A75" s="1" t="s">
        <v>73</v>
      </c>
      <c r="B75" s="13" t="n">
        <f aca="false">B48*0.035</f>
        <v>525</v>
      </c>
      <c r="C75" s="13" t="n">
        <f aca="false">C48*0.035</f>
        <v>588</v>
      </c>
      <c r="D75" s="13" t="n">
        <f aca="false">D48*0.035</f>
        <v>676.2</v>
      </c>
      <c r="E75" s="13" t="n">
        <f aca="false">E48*0.035</f>
        <v>777.63</v>
      </c>
      <c r="F75" s="13" t="n">
        <f aca="false">F48*0.035</f>
        <v>894.285</v>
      </c>
    </row>
    <row r="76" customFormat="false" ht="15" hidden="false" customHeight="true" outlineLevel="1" collapsed="false">
      <c r="A76" s="1" t="s">
        <v>74</v>
      </c>
      <c r="B76" s="13" t="n">
        <f aca="false">B48*0.02</f>
        <v>300</v>
      </c>
      <c r="C76" s="13" t="n">
        <f aca="false">C48*0.02</f>
        <v>336</v>
      </c>
      <c r="D76" s="13" t="n">
        <f aca="false">D48*0.02</f>
        <v>386.4</v>
      </c>
      <c r="E76" s="13" t="n">
        <f aca="false">E48*0.02</f>
        <v>444.36</v>
      </c>
      <c r="F76" s="13" t="n">
        <f aca="false">F48*0.02</f>
        <v>511.02</v>
      </c>
    </row>
    <row r="77" customFormat="false" ht="15" hidden="false" customHeight="true" outlineLevel="1" collapsed="false">
      <c r="A77" s="1" t="s">
        <v>75</v>
      </c>
      <c r="B77" s="13" t="n">
        <f aca="false">B48*0.03</f>
        <v>450</v>
      </c>
      <c r="C77" s="13" t="n">
        <f aca="false">C48*0.03</f>
        <v>504</v>
      </c>
      <c r="D77" s="13" t="n">
        <f aca="false">D48*0.03</f>
        <v>579.6</v>
      </c>
      <c r="E77" s="13" t="n">
        <f aca="false">E48*0.03</f>
        <v>666.54</v>
      </c>
      <c r="F77" s="13" t="n">
        <f aca="false">F48*0.03</f>
        <v>766.53</v>
      </c>
    </row>
    <row r="78" customFormat="false" ht="15" hidden="false" customHeight="true" outlineLevel="1" collapsed="false">
      <c r="A78" s="1" t="s">
        <v>76</v>
      </c>
      <c r="B78" s="13" t="n">
        <f aca="false">B48*0.015</f>
        <v>225</v>
      </c>
      <c r="C78" s="13" t="n">
        <f aca="false">C48*0.015</f>
        <v>252</v>
      </c>
      <c r="D78" s="13" t="n">
        <f aca="false">D48*0.015</f>
        <v>289.8</v>
      </c>
      <c r="E78" s="13" t="n">
        <f aca="false">E48*0.015</f>
        <v>333.27</v>
      </c>
      <c r="F78" s="13" t="n">
        <f aca="false">F48*0.015</f>
        <v>383.265</v>
      </c>
    </row>
    <row r="79" customFormat="false" ht="15" hidden="false" customHeight="true" outlineLevel="1" collapsed="false">
      <c r="A79" s="1" t="s">
        <v>77</v>
      </c>
      <c r="B79" s="13" t="n">
        <f aca="false">B48*0.01</f>
        <v>150</v>
      </c>
      <c r="C79" s="13" t="n">
        <f aca="false">C48*0.01</f>
        <v>168</v>
      </c>
      <c r="D79" s="13" t="n">
        <f aca="false">D48*0.01</f>
        <v>193.2</v>
      </c>
      <c r="E79" s="13" t="n">
        <f aca="false">E48*0.01</f>
        <v>222.18</v>
      </c>
      <c r="F79" s="13" t="n">
        <f aca="false">F48*0.01</f>
        <v>255.51</v>
      </c>
    </row>
    <row r="80" customFormat="false" ht="15" hidden="false" customHeight="true" outlineLevel="1" collapsed="false">
      <c r="A80" s="1" t="s">
        <v>78</v>
      </c>
      <c r="B80" s="13" t="n">
        <f aca="false">B48*0.025</f>
        <v>375</v>
      </c>
      <c r="C80" s="13" t="n">
        <f aca="false">C48*0.025</f>
        <v>420</v>
      </c>
      <c r="D80" s="13" t="n">
        <f aca="false">D48*0.025</f>
        <v>483</v>
      </c>
      <c r="E80" s="13" t="n">
        <f aca="false">E48*0.025</f>
        <v>555.45</v>
      </c>
      <c r="F80" s="13" t="n">
        <f aca="false">F48*0.025</f>
        <v>638.775</v>
      </c>
    </row>
    <row r="81" customFormat="false" ht="15" hidden="false" customHeight="true" outlineLevel="0" collapsed="false">
      <c r="A81" s="8" t="s">
        <v>79</v>
      </c>
      <c r="B81" s="10" t="n">
        <f aca="false">SUM(B74:B80)</f>
        <v>3000</v>
      </c>
      <c r="C81" s="10" t="n">
        <f aca="false">SUM(C74:C80)</f>
        <v>3360</v>
      </c>
      <c r="D81" s="10" t="n">
        <f aca="false">SUM(D74:D80)</f>
        <v>3864</v>
      </c>
      <c r="E81" s="10" t="n">
        <f aca="false">SUM(E74:E80)</f>
        <v>4443.6</v>
      </c>
      <c r="F81" s="10" t="n">
        <f aca="false">SUM(F74:F80)</f>
        <v>5110.2</v>
      </c>
    </row>
    <row r="82" customFormat="false" ht="15" hidden="false" customHeight="true" outlineLevel="0" collapsed="false">
      <c r="A82" s="6" t="s">
        <v>80</v>
      </c>
      <c r="B82" s="6"/>
      <c r="C82" s="6"/>
      <c r="D82" s="6"/>
      <c r="E82" s="6"/>
      <c r="F82" s="6"/>
      <c r="G82" s="6"/>
    </row>
    <row r="83" customFormat="false" ht="15" hidden="false" customHeight="true" outlineLevel="1" collapsed="false">
      <c r="A83" s="1" t="s">
        <v>81</v>
      </c>
      <c r="B83" s="13" t="n">
        <f aca="false">B48*0.05</f>
        <v>750</v>
      </c>
      <c r="C83" s="13" t="n">
        <f aca="false">C48*0.05</f>
        <v>840</v>
      </c>
      <c r="D83" s="13" t="n">
        <f aca="false">D48*0.05</f>
        <v>966</v>
      </c>
      <c r="E83" s="13" t="n">
        <f aca="false">E48*0.05</f>
        <v>1110.9</v>
      </c>
      <c r="F83" s="13" t="n">
        <f aca="false">F48*0.05</f>
        <v>1277.55</v>
      </c>
    </row>
    <row r="84" customFormat="false" ht="15" hidden="false" customHeight="true" outlineLevel="1" collapsed="false">
      <c r="A84" s="1" t="s">
        <v>82</v>
      </c>
      <c r="B84" s="13" t="n">
        <f aca="false">B48*0.04</f>
        <v>600</v>
      </c>
      <c r="C84" s="13" t="n">
        <f aca="false">C48*0.04</f>
        <v>672</v>
      </c>
      <c r="D84" s="13" t="n">
        <f aca="false">D48*0.04</f>
        <v>772.8</v>
      </c>
      <c r="E84" s="13" t="n">
        <f aca="false">E48*0.04</f>
        <v>888.72</v>
      </c>
      <c r="F84" s="13" t="n">
        <f aca="false">F48*0.04</f>
        <v>1022.04</v>
      </c>
    </row>
    <row r="85" customFormat="false" ht="15" hidden="false" customHeight="true" outlineLevel="1" collapsed="false">
      <c r="A85" s="1" t="s">
        <v>83</v>
      </c>
      <c r="B85" s="13" t="n">
        <f aca="false">B48*0.015</f>
        <v>225</v>
      </c>
      <c r="C85" s="13" t="n">
        <f aca="false">C48*0.015</f>
        <v>252</v>
      </c>
      <c r="D85" s="13" t="n">
        <f aca="false">D48*0.015</f>
        <v>289.8</v>
      </c>
      <c r="E85" s="13" t="n">
        <f aca="false">E48*0.015</f>
        <v>333.27</v>
      </c>
      <c r="F85" s="13" t="n">
        <f aca="false">F48*0.015</f>
        <v>383.265</v>
      </c>
    </row>
    <row r="86" customFormat="false" ht="15" hidden="false" customHeight="true" outlineLevel="1" collapsed="false">
      <c r="A86" s="1" t="s">
        <v>84</v>
      </c>
      <c r="B86" s="13" t="n">
        <f aca="false">B48*0.02</f>
        <v>300</v>
      </c>
      <c r="C86" s="13" t="n">
        <f aca="false">C48*0.02</f>
        <v>336</v>
      </c>
      <c r="D86" s="13" t="n">
        <f aca="false">D48*0.02</f>
        <v>386.4</v>
      </c>
      <c r="E86" s="13" t="n">
        <f aca="false">E48*0.02</f>
        <v>444.36</v>
      </c>
      <c r="F86" s="13" t="n">
        <f aca="false">F48*0.02</f>
        <v>511.02</v>
      </c>
    </row>
    <row r="87" customFormat="false" ht="15" hidden="false" customHeight="true" outlineLevel="1" collapsed="false">
      <c r="A87" s="1" t="s">
        <v>85</v>
      </c>
      <c r="B87" s="13" t="n">
        <f aca="false">B48*0.015</f>
        <v>225</v>
      </c>
      <c r="C87" s="13" t="n">
        <f aca="false">C48*0.015</f>
        <v>252</v>
      </c>
      <c r="D87" s="13" t="n">
        <f aca="false">D48*0.015</f>
        <v>289.8</v>
      </c>
      <c r="E87" s="13" t="n">
        <f aca="false">E48*0.015</f>
        <v>333.27</v>
      </c>
      <c r="F87" s="13" t="n">
        <f aca="false">F48*0.015</f>
        <v>383.265</v>
      </c>
    </row>
    <row r="88" customFormat="false" ht="15" hidden="false" customHeight="true" outlineLevel="1" collapsed="false">
      <c r="A88" s="1" t="s">
        <v>86</v>
      </c>
      <c r="B88" s="13" t="n">
        <f aca="false">B48*0.01</f>
        <v>150</v>
      </c>
      <c r="C88" s="13" t="n">
        <f aca="false">C48*0.01</f>
        <v>168</v>
      </c>
      <c r="D88" s="13" t="n">
        <f aca="false">D48*0.01</f>
        <v>193.2</v>
      </c>
      <c r="E88" s="13" t="n">
        <f aca="false">E48*0.01</f>
        <v>222.18</v>
      </c>
      <c r="F88" s="13" t="n">
        <f aca="false">F48*0.01</f>
        <v>255.51</v>
      </c>
    </row>
    <row r="89" customFormat="false" ht="15" hidden="false" customHeight="true" outlineLevel="0" collapsed="false">
      <c r="A89" s="8" t="s">
        <v>87</v>
      </c>
      <c r="B89" s="10" t="n">
        <f aca="false">SUM(B83:B88)</f>
        <v>2250</v>
      </c>
      <c r="C89" s="10" t="n">
        <f aca="false">SUM(C83:C88)</f>
        <v>2520</v>
      </c>
      <c r="D89" s="10" t="n">
        <f aca="false">SUM(D83:D88)</f>
        <v>2898</v>
      </c>
      <c r="E89" s="10" t="n">
        <f aca="false">SUM(E83:E88)</f>
        <v>3332.7</v>
      </c>
      <c r="F89" s="10" t="n">
        <f aca="false">SUM(F83:F88)</f>
        <v>3832.65</v>
      </c>
    </row>
    <row r="90" customFormat="false" ht="15" hidden="false" customHeight="true" outlineLevel="0" collapsed="false">
      <c r="A90" s="6" t="s">
        <v>88</v>
      </c>
      <c r="B90" s="6"/>
      <c r="C90" s="6"/>
      <c r="D90" s="6"/>
      <c r="E90" s="6"/>
      <c r="F90" s="6"/>
      <c r="G90" s="6"/>
    </row>
    <row r="91" customFormat="false" ht="15" hidden="false" customHeight="true" outlineLevel="1" collapsed="false">
      <c r="A91" s="1" t="s">
        <v>89</v>
      </c>
      <c r="B91" s="13" t="n">
        <f aca="false">B48*0.025</f>
        <v>375</v>
      </c>
      <c r="C91" s="13" t="n">
        <f aca="false">C48*0.025</f>
        <v>420</v>
      </c>
      <c r="D91" s="13" t="n">
        <f aca="false">D48*0.025</f>
        <v>483</v>
      </c>
      <c r="E91" s="13" t="n">
        <f aca="false">E48*0.025</f>
        <v>555.45</v>
      </c>
      <c r="F91" s="13" t="n">
        <f aca="false">F48*0.025</f>
        <v>638.775</v>
      </c>
    </row>
    <row r="92" customFormat="false" ht="15" hidden="false" customHeight="true" outlineLevel="1" collapsed="false">
      <c r="A92" s="1" t="s">
        <v>90</v>
      </c>
      <c r="B92" s="13" t="n">
        <f aca="false">B48*0.025</f>
        <v>375</v>
      </c>
      <c r="C92" s="13" t="n">
        <f aca="false">C48*0.025</f>
        <v>420</v>
      </c>
      <c r="D92" s="13" t="n">
        <f aca="false">D48*0.025</f>
        <v>483</v>
      </c>
      <c r="E92" s="13" t="n">
        <f aca="false">E48*0.025</f>
        <v>555.45</v>
      </c>
      <c r="F92" s="13" t="n">
        <f aca="false">F48*0.025</f>
        <v>638.775</v>
      </c>
    </row>
    <row r="93" customFormat="false" ht="15" hidden="false" customHeight="true" outlineLevel="1" collapsed="false">
      <c r="A93" s="1" t="s">
        <v>91</v>
      </c>
      <c r="B93" s="13" t="n">
        <f aca="false">B48*0.015</f>
        <v>225</v>
      </c>
      <c r="C93" s="13" t="n">
        <f aca="false">C48*0.015</f>
        <v>252</v>
      </c>
      <c r="D93" s="13" t="n">
        <f aca="false">D48*0.015</f>
        <v>289.8</v>
      </c>
      <c r="E93" s="13" t="n">
        <f aca="false">E48*0.015</f>
        <v>333.27</v>
      </c>
      <c r="F93" s="13" t="n">
        <f aca="false">F48*0.015</f>
        <v>383.265</v>
      </c>
    </row>
    <row r="94" customFormat="false" ht="15" hidden="false" customHeight="true" outlineLevel="1" collapsed="false">
      <c r="A94" s="1" t="s">
        <v>92</v>
      </c>
      <c r="B94" s="13" t="n">
        <f aca="false">B48*0.015</f>
        <v>225</v>
      </c>
      <c r="C94" s="13" t="n">
        <f aca="false">C48*0.015</f>
        <v>252</v>
      </c>
      <c r="D94" s="13" t="n">
        <f aca="false">D48*0.015</f>
        <v>289.8</v>
      </c>
      <c r="E94" s="13" t="n">
        <f aca="false">E48*0.015</f>
        <v>333.27</v>
      </c>
      <c r="F94" s="13" t="n">
        <f aca="false">F48*0.015</f>
        <v>383.265</v>
      </c>
    </row>
    <row r="95" customFormat="false" ht="15" hidden="false" customHeight="true" outlineLevel="1" collapsed="false">
      <c r="A95" s="1" t="s">
        <v>93</v>
      </c>
      <c r="B95" s="13" t="n">
        <f aca="false">B48*0.02</f>
        <v>300</v>
      </c>
      <c r="C95" s="13" t="n">
        <f aca="false">C48*0.02</f>
        <v>336</v>
      </c>
      <c r="D95" s="13" t="n">
        <f aca="false">D48*0.02</f>
        <v>386.4</v>
      </c>
      <c r="E95" s="13" t="n">
        <f aca="false">E48*0.02</f>
        <v>444.36</v>
      </c>
      <c r="F95" s="13" t="n">
        <f aca="false">F48*0.02</f>
        <v>511.02</v>
      </c>
    </row>
    <row r="96" customFormat="false" ht="15" hidden="false" customHeight="true" outlineLevel="1" collapsed="false">
      <c r="A96" s="1" t="s">
        <v>94</v>
      </c>
      <c r="B96" s="13" t="n">
        <f aca="false">B48*0.015</f>
        <v>225</v>
      </c>
      <c r="C96" s="13" t="n">
        <f aca="false">C48*0.015</f>
        <v>252</v>
      </c>
      <c r="D96" s="13" t="n">
        <f aca="false">D48*0.015</f>
        <v>289.8</v>
      </c>
      <c r="E96" s="13" t="n">
        <f aca="false">E48*0.015</f>
        <v>333.27</v>
      </c>
      <c r="F96" s="13" t="n">
        <f aca="false">F48*0.015</f>
        <v>383.265</v>
      </c>
    </row>
    <row r="97" customFormat="false" ht="15" hidden="false" customHeight="true" outlineLevel="1" collapsed="false">
      <c r="A97" s="1" t="s">
        <v>95</v>
      </c>
      <c r="B97" s="13" t="n">
        <f aca="false">B48*0.005</f>
        <v>75</v>
      </c>
      <c r="C97" s="13" t="n">
        <f aca="false">C48*0.005</f>
        <v>84</v>
      </c>
      <c r="D97" s="13" t="n">
        <f aca="false">D48*0.005</f>
        <v>96.6</v>
      </c>
      <c r="E97" s="13" t="n">
        <f aca="false">E48*0.005</f>
        <v>111.09</v>
      </c>
      <c r="F97" s="13" t="n">
        <f aca="false">F48*0.005</f>
        <v>127.755</v>
      </c>
    </row>
    <row r="98" customFormat="false" ht="15" hidden="false" customHeight="true" outlineLevel="1" collapsed="false">
      <c r="A98" s="1" t="s">
        <v>96</v>
      </c>
      <c r="B98" s="13" t="n">
        <f aca="false">B48*0.01</f>
        <v>150</v>
      </c>
      <c r="C98" s="13" t="n">
        <f aca="false">C48*0.01</f>
        <v>168</v>
      </c>
      <c r="D98" s="13" t="n">
        <f aca="false">D48*0.01</f>
        <v>193.2</v>
      </c>
      <c r="E98" s="13" t="n">
        <f aca="false">E48*0.01</f>
        <v>222.18</v>
      </c>
      <c r="F98" s="13" t="n">
        <f aca="false">F48*0.01</f>
        <v>255.51</v>
      </c>
    </row>
    <row r="99" customFormat="false" ht="15" hidden="false" customHeight="true" outlineLevel="0" collapsed="false">
      <c r="A99" s="8" t="s">
        <v>97</v>
      </c>
      <c r="B99" s="10" t="n">
        <f aca="false">SUM(B91:B98)</f>
        <v>1950</v>
      </c>
      <c r="C99" s="10" t="n">
        <f aca="false">SUM(C91:C98)</f>
        <v>2184</v>
      </c>
      <c r="D99" s="10" t="n">
        <f aca="false">SUM(D91:D98)</f>
        <v>2511.6</v>
      </c>
      <c r="E99" s="10" t="n">
        <f aca="false">SUM(E91:E98)</f>
        <v>2888.34</v>
      </c>
      <c r="F99" s="10" t="n">
        <f aca="false">SUM(F91:F98)</f>
        <v>3321.63</v>
      </c>
    </row>
    <row r="100" customFormat="false" ht="15" hidden="false" customHeight="true" outlineLevel="0" collapsed="false">
      <c r="A100" s="11" t="s">
        <v>98</v>
      </c>
      <c r="B100" s="12" t="n">
        <f aca="false">B81+B89+B99</f>
        <v>7200</v>
      </c>
      <c r="C100" s="12" t="n">
        <f aca="false">C81+C89+C99</f>
        <v>8064</v>
      </c>
      <c r="D100" s="12" t="n">
        <f aca="false">D81+D89+D99</f>
        <v>9273.6</v>
      </c>
      <c r="E100" s="12" t="n">
        <f aca="false">E81+E89+E99</f>
        <v>10664.64</v>
      </c>
      <c r="F100" s="12" t="n">
        <f aca="false">F81+F89+F99</f>
        <v>12264.48</v>
      </c>
    </row>
    <row r="102" customFormat="false" ht="15" hidden="false" customHeight="true" outlineLevel="0" collapsed="false">
      <c r="A102" s="11" t="s">
        <v>99</v>
      </c>
      <c r="B102" s="14" t="n">
        <f aca="false">B69-B100</f>
        <v>1260</v>
      </c>
      <c r="C102" s="14" t="n">
        <f aca="false">C69-C100</f>
        <v>1411.2</v>
      </c>
      <c r="D102" s="14" t="n">
        <f aca="false">D69-D100</f>
        <v>1622.88</v>
      </c>
      <c r="E102" s="14" t="n">
        <f aca="false">E69-E100</f>
        <v>1866.312</v>
      </c>
      <c r="F102" s="14" t="n">
        <f aca="false">F69-F100</f>
        <v>2146.284</v>
      </c>
    </row>
    <row r="103" customFormat="false" ht="15" hidden="false" customHeight="true" outlineLevel="0" collapsed="false">
      <c r="A103" s="1" t="s">
        <v>100</v>
      </c>
      <c r="B103" s="13" t="n">
        <f aca="false">B102/B48</f>
        <v>0.084</v>
      </c>
      <c r="C103" s="13" t="n">
        <f aca="false">C102/C48</f>
        <v>0.0840000000000001</v>
      </c>
      <c r="D103" s="13" t="n">
        <f aca="false">D102/D48</f>
        <v>0.084</v>
      </c>
      <c r="E103" s="13" t="n">
        <f aca="false">E102/E48</f>
        <v>0.084</v>
      </c>
      <c r="F103" s="13" t="n">
        <f aca="false">F102/F48</f>
        <v>0.0839999999999998</v>
      </c>
    </row>
    <row r="105" customFormat="false" ht="15" hidden="false" customHeight="true" outlineLevel="0" collapsed="false">
      <c r="A105" s="5" t="s">
        <v>101</v>
      </c>
      <c r="B105" s="5"/>
      <c r="C105" s="5"/>
      <c r="D105" s="5"/>
      <c r="E105" s="5"/>
      <c r="F105" s="5"/>
      <c r="G105" s="5"/>
    </row>
    <row r="106" customFormat="false" ht="15" hidden="false" customHeight="true" outlineLevel="1" collapsed="false">
      <c r="A106" s="1" t="s">
        <v>102</v>
      </c>
      <c r="B106" s="7" t="n">
        <v>-450</v>
      </c>
      <c r="C106" s="7" t="n">
        <v>-450</v>
      </c>
      <c r="D106" s="7" t="n">
        <v>-450</v>
      </c>
      <c r="E106" s="7" t="n">
        <v>-450</v>
      </c>
      <c r="F106" s="7" t="n">
        <v>-450</v>
      </c>
    </row>
    <row r="107" customFormat="false" ht="15" hidden="false" customHeight="true" outlineLevel="1" collapsed="false">
      <c r="A107" s="1" t="s">
        <v>103</v>
      </c>
      <c r="B107" s="7" t="n">
        <v>85</v>
      </c>
      <c r="C107" s="7" t="n">
        <v>85</v>
      </c>
      <c r="D107" s="7" t="n">
        <v>85</v>
      </c>
      <c r="E107" s="7" t="n">
        <v>85</v>
      </c>
      <c r="F107" s="7" t="n">
        <v>85</v>
      </c>
    </row>
    <row r="108" customFormat="false" ht="15" hidden="false" customHeight="true" outlineLevel="1" collapsed="false">
      <c r="A108" s="1" t="s">
        <v>104</v>
      </c>
      <c r="B108" s="7" t="n">
        <v>-15</v>
      </c>
      <c r="C108" s="7" t="n">
        <v>-15</v>
      </c>
      <c r="D108" s="7" t="n">
        <v>-15</v>
      </c>
      <c r="E108" s="7" t="n">
        <v>-15</v>
      </c>
      <c r="F108" s="7" t="n">
        <v>-15</v>
      </c>
    </row>
    <row r="109" customFormat="false" ht="15" hidden="false" customHeight="true" outlineLevel="1" collapsed="false">
      <c r="A109" s="1" t="s">
        <v>105</v>
      </c>
      <c r="B109" s="7" t="n">
        <v>30</v>
      </c>
      <c r="C109" s="7" t="n">
        <v>30</v>
      </c>
      <c r="D109" s="7" t="n">
        <v>30</v>
      </c>
      <c r="E109" s="7" t="n">
        <v>30</v>
      </c>
      <c r="F109" s="7" t="n">
        <v>30</v>
      </c>
    </row>
    <row r="110" customFormat="false" ht="15" hidden="false" customHeight="true" outlineLevel="0" collapsed="false">
      <c r="A110" s="8" t="s">
        <v>106</v>
      </c>
      <c r="B110" s="9" t="n">
        <f aca="false">SUM(B106:B109)</f>
        <v>-350</v>
      </c>
      <c r="C110" s="9" t="n">
        <f aca="false">SUM(C106:C109)</f>
        <v>-350</v>
      </c>
      <c r="D110" s="9" t="n">
        <f aca="false">SUM(D106:D109)</f>
        <v>-350</v>
      </c>
      <c r="E110" s="9" t="n">
        <f aca="false">SUM(E106:E109)</f>
        <v>-350</v>
      </c>
      <c r="F110" s="9" t="n">
        <f aca="false">SUM(F106:F109)</f>
        <v>-350</v>
      </c>
    </row>
    <row r="112" customFormat="false" ht="15" hidden="false" customHeight="true" outlineLevel="0" collapsed="false">
      <c r="A112" s="11" t="s">
        <v>107</v>
      </c>
      <c r="B112" s="10" t="n">
        <f aca="false">B102+B110</f>
        <v>910</v>
      </c>
      <c r="C112" s="10" t="n">
        <f aca="false">C102+C110</f>
        <v>1061.2</v>
      </c>
      <c r="D112" s="10" t="n">
        <f aca="false">D102+D110</f>
        <v>1272.88</v>
      </c>
      <c r="E112" s="10" t="n">
        <f aca="false">E102+E110</f>
        <v>1516.312</v>
      </c>
      <c r="F112" s="10" t="n">
        <f aca="false">F102+F110</f>
        <v>1796.284</v>
      </c>
    </row>
    <row r="113" customFormat="false" ht="15" hidden="false" customHeight="true" outlineLevel="0" collapsed="false">
      <c r="A113" s="1" t="s">
        <v>108</v>
      </c>
      <c r="B113" s="13" t="n">
        <f aca="false">B112*0.21</f>
        <v>191.1</v>
      </c>
      <c r="C113" s="13" t="n">
        <f aca="false">C112*0.21</f>
        <v>222.852</v>
      </c>
      <c r="D113" s="13" t="n">
        <f aca="false">D112*0.21</f>
        <v>267.3048</v>
      </c>
      <c r="E113" s="13" t="n">
        <f aca="false">E112*0.21</f>
        <v>318.42552</v>
      </c>
      <c r="F113" s="13" t="n">
        <f aca="false">F112*0.21</f>
        <v>377.219639999999</v>
      </c>
    </row>
    <row r="114" customFormat="false" ht="15" hidden="false" customHeight="true" outlineLevel="0" collapsed="false">
      <c r="A114" s="1" t="s">
        <v>109</v>
      </c>
      <c r="B114" s="13" t="n">
        <f aca="false">B113/B112</f>
        <v>0.21</v>
      </c>
      <c r="C114" s="13" t="n">
        <f aca="false">C113/C112</f>
        <v>0.21</v>
      </c>
      <c r="D114" s="13" t="n">
        <f aca="false">D113/D112</f>
        <v>0.21</v>
      </c>
      <c r="E114" s="13" t="n">
        <f aca="false">E113/E112</f>
        <v>0.21</v>
      </c>
      <c r="F114" s="13" t="n">
        <f aca="false">F113/F112</f>
        <v>0.21</v>
      </c>
    </row>
    <row r="116" customFormat="false" ht="15.75" hidden="false" customHeight="true" outlineLevel="0" collapsed="false">
      <c r="A116" s="15" t="s">
        <v>110</v>
      </c>
      <c r="B116" s="16" t="n">
        <f aca="false">B112-B113</f>
        <v>718.9</v>
      </c>
      <c r="C116" s="16" t="n">
        <f aca="false">C112-C113</f>
        <v>838.348000000001</v>
      </c>
      <c r="D116" s="16" t="n">
        <f aca="false">D112-D113</f>
        <v>1005.5752</v>
      </c>
      <c r="E116" s="16" t="n">
        <f aca="false">E112-E113</f>
        <v>1197.88648</v>
      </c>
      <c r="F116" s="16" t="n">
        <f aca="false">F112-F113</f>
        <v>1419.06436</v>
      </c>
    </row>
    <row r="117" customFormat="false" ht="15" hidden="false" customHeight="true" outlineLevel="0" collapsed="false">
      <c r="A117" s="1" t="s">
        <v>111</v>
      </c>
      <c r="B117" s="17" t="n">
        <f aca="false">B116/B48</f>
        <v>0.0479266666666667</v>
      </c>
      <c r="C117" s="17" t="n">
        <f aca="false">C116/C48</f>
        <v>0.0499016666666667</v>
      </c>
      <c r="D117" s="17" t="n">
        <f aca="false">D116/D48</f>
        <v>0.0520484057971014</v>
      </c>
      <c r="E117" s="17" t="n">
        <f aca="false">E116/E48</f>
        <v>0.0539151354757404</v>
      </c>
      <c r="F117" s="17" t="n">
        <f aca="false">F116/F48</f>
        <v>0.0555385057336307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2"/>
    <col collapsed="false" customWidth="true" hidden="false" outlineLevel="0" max="6" min="2" style="1" width="16"/>
  </cols>
  <sheetData>
    <row r="1" customFormat="false" ht="15.75" hidden="false" customHeight="true" outlineLevel="0" collapsed="false">
      <c r="A1" s="2" t="s">
        <v>112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6" customFormat="false" ht="15.75" hidden="false" customHeight="true" outlineLevel="0" collapsed="false">
      <c r="A6" s="18" t="s">
        <v>113</v>
      </c>
      <c r="B6" s="18"/>
      <c r="C6" s="18"/>
      <c r="D6" s="18"/>
      <c r="E6" s="18"/>
      <c r="F6" s="18"/>
      <c r="G6" s="18"/>
    </row>
    <row r="7" customFormat="false" ht="15" hidden="false" customHeight="true" outlineLevel="0" collapsed="false">
      <c r="A7" s="5" t="s">
        <v>114</v>
      </c>
      <c r="B7" s="5"/>
      <c r="C7" s="5"/>
      <c r="D7" s="5"/>
      <c r="E7" s="5"/>
      <c r="F7" s="5"/>
      <c r="G7" s="5"/>
    </row>
    <row r="8" customFormat="false" ht="15" hidden="false" customHeight="true" outlineLevel="1" collapsed="false">
      <c r="A8" s="1" t="s">
        <v>115</v>
      </c>
      <c r="B8" s="19" t="n">
        <v>3200</v>
      </c>
      <c r="C8" s="19" t="n">
        <v>4150</v>
      </c>
      <c r="D8" s="19" t="n">
        <v>5320</v>
      </c>
      <c r="E8" s="19" t="n">
        <v>6890</v>
      </c>
      <c r="F8" s="19" t="n">
        <v>8650</v>
      </c>
    </row>
    <row r="9" customFormat="false" ht="15" hidden="false" customHeight="true" outlineLevel="1" collapsed="false">
      <c r="A9" s="1" t="s">
        <v>116</v>
      </c>
      <c r="B9" s="7" t="n">
        <v>1500</v>
      </c>
      <c r="C9" s="7" t="n">
        <v>1800</v>
      </c>
      <c r="D9" s="7" t="n">
        <v>2100</v>
      </c>
      <c r="E9" s="7" t="n">
        <v>2500</v>
      </c>
      <c r="F9" s="7" t="n">
        <v>3000</v>
      </c>
    </row>
    <row r="10" customFormat="false" ht="15" hidden="false" customHeight="true" outlineLevel="1" collapsed="false">
      <c r="A10" s="6" t="s">
        <v>117</v>
      </c>
      <c r="B10" s="6"/>
      <c r="C10" s="6"/>
      <c r="D10" s="6"/>
      <c r="E10" s="6"/>
      <c r="F10" s="6"/>
      <c r="G10" s="6"/>
    </row>
    <row r="11" customFormat="false" ht="15" hidden="false" customHeight="true" outlineLevel="1" collapsed="false">
      <c r="A11" s="1" t="s">
        <v>118</v>
      </c>
      <c r="B11" s="19" t="n">
        <f aca="false">'Income Statement'!B48*0.48*0.14</f>
        <v>1008</v>
      </c>
      <c r="C11" s="19" t="n">
        <f aca="false">'Income Statement'!C48*0.48*0.14</f>
        <v>1128.96</v>
      </c>
      <c r="D11" s="19" t="n">
        <f aca="false">'Income Statement'!D48*0.48*0.14</f>
        <v>1298.304</v>
      </c>
      <c r="E11" s="19" t="n">
        <f aca="false">'Income Statement'!E48*0.48*0.14</f>
        <v>1493.0496</v>
      </c>
      <c r="F11" s="19" t="n">
        <f aca="false">'Income Statement'!F48*0.48*0.14</f>
        <v>1717.0272</v>
      </c>
    </row>
    <row r="12" customFormat="false" ht="15" hidden="false" customHeight="true" outlineLevel="1" collapsed="false">
      <c r="A12" s="1" t="s">
        <v>119</v>
      </c>
      <c r="B12" s="19" t="n">
        <f aca="false">'Income Statement'!B48*0.28*0.17</f>
        <v>714</v>
      </c>
      <c r="C12" s="19" t="n">
        <f aca="false">'Income Statement'!C48*0.28*0.17</f>
        <v>799.68</v>
      </c>
      <c r="D12" s="19" t="n">
        <f aca="false">'Income Statement'!D48*0.28*0.17</f>
        <v>919.632</v>
      </c>
      <c r="E12" s="19" t="n">
        <f aca="false">'Income Statement'!E48*0.28*0.17</f>
        <v>1057.5768</v>
      </c>
      <c r="F12" s="19" t="n">
        <f aca="false">'Income Statement'!F48*0.28*0.17</f>
        <v>1216.2276</v>
      </c>
    </row>
    <row r="13" customFormat="false" ht="15" hidden="false" customHeight="true" outlineLevel="1" collapsed="false">
      <c r="A13" s="1" t="s">
        <v>120</v>
      </c>
      <c r="B13" s="19" t="n">
        <f aca="false">'Income Statement'!B48*0.18*0.16</f>
        <v>432</v>
      </c>
      <c r="C13" s="19" t="n">
        <f aca="false">'Income Statement'!C48*0.18*0.16</f>
        <v>483.84</v>
      </c>
      <c r="D13" s="19" t="n">
        <f aca="false">'Income Statement'!D48*0.18*0.16</f>
        <v>556.416</v>
      </c>
      <c r="E13" s="19" t="n">
        <f aca="false">'Income Statement'!E48*0.18*0.16</f>
        <v>639.8784</v>
      </c>
      <c r="F13" s="19" t="n">
        <f aca="false">'Income Statement'!F48*0.18*0.16</f>
        <v>735.8688</v>
      </c>
    </row>
    <row r="14" customFormat="false" ht="15" hidden="false" customHeight="true" outlineLevel="1" collapsed="false">
      <c r="A14" s="1" t="s">
        <v>121</v>
      </c>
      <c r="B14" s="19" t="n">
        <f aca="false">'Income Statement'!B48*0.06*0.18</f>
        <v>162</v>
      </c>
      <c r="C14" s="19" t="n">
        <f aca="false">'Income Statement'!C48*0.06*0.18</f>
        <v>181.44</v>
      </c>
      <c r="D14" s="19" t="n">
        <f aca="false">'Income Statement'!D48*0.06*0.18</f>
        <v>208.656</v>
      </c>
      <c r="E14" s="19" t="n">
        <f aca="false">'Income Statement'!E48*0.06*0.18</f>
        <v>239.9544</v>
      </c>
      <c r="F14" s="19" t="n">
        <f aca="false">'Income Statement'!F48*0.06*0.18</f>
        <v>275.9508</v>
      </c>
    </row>
    <row r="15" customFormat="false" ht="15" hidden="false" customHeight="true" outlineLevel="1" collapsed="false">
      <c r="A15" s="1" t="s">
        <v>122</v>
      </c>
      <c r="B15" s="19" t="n">
        <f aca="false">'Income Statement'!B48*0.03</f>
        <v>450</v>
      </c>
      <c r="C15" s="19" t="n">
        <f aca="false">'Income Statement'!C48*0.03</f>
        <v>504</v>
      </c>
      <c r="D15" s="19" t="n">
        <f aca="false">'Income Statement'!D48*0.03</f>
        <v>579.6</v>
      </c>
      <c r="E15" s="19" t="n">
        <f aca="false">'Income Statement'!E48*0.03</f>
        <v>666.54</v>
      </c>
      <c r="F15" s="19" t="n">
        <f aca="false">'Income Statement'!F48*0.03</f>
        <v>766.53</v>
      </c>
    </row>
    <row r="16" customFormat="false" ht="15" hidden="false" customHeight="true" outlineLevel="1" collapsed="false">
      <c r="A16" s="1" t="s">
        <v>123</v>
      </c>
      <c r="B16" s="19" t="n">
        <f aca="false">-(B11+B12+B13+B14+B15)*0.02</f>
        <v>-55.32</v>
      </c>
      <c r="C16" s="19" t="n">
        <f aca="false">-(C11+C12+C13+C14+C15)*0.02</f>
        <v>-61.9584</v>
      </c>
      <c r="D16" s="19" t="n">
        <f aca="false">-(D11+D12+D13+D14+D15)*0.02</f>
        <v>-71.25216</v>
      </c>
      <c r="E16" s="19" t="n">
        <f aca="false">-(E11+E12+E13+E14+E15)*0.02</f>
        <v>-81.939984</v>
      </c>
      <c r="F16" s="19" t="n">
        <f aca="false">-(F11+F12+F13+F14+F15)*0.02</f>
        <v>-94.232088</v>
      </c>
    </row>
    <row r="17" customFormat="false" ht="15" hidden="false" customHeight="true" outlineLevel="1" collapsed="false">
      <c r="A17" s="8" t="s">
        <v>124</v>
      </c>
      <c r="B17" s="9" t="n">
        <f aca="false">SUM(B11:B16)</f>
        <v>2710.68</v>
      </c>
      <c r="C17" s="9" t="n">
        <f aca="false">SUM(C11:C16)</f>
        <v>3035.9616</v>
      </c>
      <c r="D17" s="9" t="n">
        <f aca="false">SUM(D11:D16)</f>
        <v>3491.35584</v>
      </c>
      <c r="E17" s="9" t="n">
        <f aca="false">SUM(E11:E16)</f>
        <v>4015.059216</v>
      </c>
      <c r="F17" s="9" t="n">
        <f aca="false">SUM(F11:F16)</f>
        <v>4617.372312</v>
      </c>
    </row>
    <row r="18" customFormat="false" ht="15" hidden="false" customHeight="true" outlineLevel="1" collapsed="false">
      <c r="A18" s="6" t="s">
        <v>125</v>
      </c>
      <c r="B18" s="6"/>
      <c r="C18" s="6"/>
      <c r="D18" s="6"/>
      <c r="E18" s="6"/>
      <c r="F18" s="6"/>
      <c r="G18" s="6"/>
    </row>
    <row r="19" customFormat="false" ht="15" hidden="false" customHeight="true" outlineLevel="1" collapsed="false">
      <c r="A19" s="1" t="s">
        <v>126</v>
      </c>
      <c r="B19" s="19" t="n">
        <f aca="false">'Income Statement'!B60*0.12</f>
        <v>608.4</v>
      </c>
      <c r="C19" s="19" t="n">
        <f aca="false">'Income Statement'!C60*0.12</f>
        <v>681.408</v>
      </c>
      <c r="D19" s="19" t="n">
        <f aca="false">'Income Statement'!D60*0.12</f>
        <v>783.6192</v>
      </c>
      <c r="E19" s="19" t="n">
        <f aca="false">'Income Statement'!E60*0.12</f>
        <v>901.16208</v>
      </c>
      <c r="F19" s="19" t="n">
        <f aca="false">'Income Statement'!F60*0.12</f>
        <v>1036.34856</v>
      </c>
    </row>
    <row r="20" customFormat="false" ht="15" hidden="false" customHeight="true" outlineLevel="1" collapsed="false">
      <c r="A20" s="1" t="s">
        <v>127</v>
      </c>
      <c r="B20" s="19" t="n">
        <f aca="false">'Income Statement'!B60*0.1</f>
        <v>507</v>
      </c>
      <c r="C20" s="19" t="n">
        <f aca="false">'Income Statement'!C60*0.1</f>
        <v>567.84</v>
      </c>
      <c r="D20" s="19" t="n">
        <f aca="false">'Income Statement'!D60*0.1</f>
        <v>653.016</v>
      </c>
      <c r="E20" s="19" t="n">
        <f aca="false">'Income Statement'!E60*0.1</f>
        <v>750.9684</v>
      </c>
      <c r="F20" s="19" t="n">
        <f aca="false">'Income Statement'!F60*0.1</f>
        <v>863.6238</v>
      </c>
    </row>
    <row r="21" customFormat="false" ht="15" hidden="false" customHeight="true" outlineLevel="1" collapsed="false">
      <c r="A21" s="1" t="s">
        <v>128</v>
      </c>
      <c r="B21" s="19" t="n">
        <f aca="false">'Income Statement'!B60*0.15</f>
        <v>760.5</v>
      </c>
      <c r="C21" s="19" t="n">
        <f aca="false">'Income Statement'!C60*0.15</f>
        <v>851.76</v>
      </c>
      <c r="D21" s="19" t="n">
        <f aca="false">'Income Statement'!D60*0.15</f>
        <v>979.524</v>
      </c>
      <c r="E21" s="19" t="n">
        <f aca="false">'Income Statement'!E60*0.15</f>
        <v>1126.4526</v>
      </c>
      <c r="F21" s="19" t="n">
        <f aca="false">'Income Statement'!F60*0.15</f>
        <v>1295.4357</v>
      </c>
    </row>
    <row r="22" customFormat="false" ht="15" hidden="false" customHeight="true" outlineLevel="1" collapsed="false">
      <c r="A22" s="1" t="s">
        <v>129</v>
      </c>
      <c r="B22" s="19" t="n">
        <f aca="false">-(B19+B20+B21)*0.03</f>
        <v>-56.277</v>
      </c>
      <c r="C22" s="19" t="n">
        <f aca="false">-(C19+C20+C21)*0.03</f>
        <v>-63.03024</v>
      </c>
      <c r="D22" s="19" t="n">
        <f aca="false">-(D19+D20+D21)*0.03</f>
        <v>-72.484776</v>
      </c>
      <c r="E22" s="19" t="n">
        <f aca="false">-(E19+E20+E21)*0.03</f>
        <v>-83.3574924</v>
      </c>
      <c r="F22" s="19" t="n">
        <f aca="false">-(F19+F20+F21)*0.03</f>
        <v>-95.8622418</v>
      </c>
    </row>
    <row r="23" customFormat="false" ht="15" hidden="false" customHeight="true" outlineLevel="1" collapsed="false">
      <c r="A23" s="8" t="s">
        <v>130</v>
      </c>
      <c r="B23" s="9" t="n">
        <f aca="false">SUM(B19:B22)</f>
        <v>1819.623</v>
      </c>
      <c r="C23" s="9" t="n">
        <f aca="false">SUM(C19:C22)</f>
        <v>2037.97776</v>
      </c>
      <c r="D23" s="9" t="n">
        <f aca="false">SUM(D19:D22)</f>
        <v>2343.674424</v>
      </c>
      <c r="E23" s="9" t="n">
        <f aca="false">SUM(E19:E22)</f>
        <v>2695.2255876</v>
      </c>
      <c r="F23" s="9" t="n">
        <f aca="false">SUM(F19:F22)</f>
        <v>3099.5458182</v>
      </c>
    </row>
    <row r="24" customFormat="false" ht="15" hidden="false" customHeight="true" outlineLevel="1" collapsed="false">
      <c r="A24" s="1" t="s">
        <v>131</v>
      </c>
      <c r="B24" s="19" t="n">
        <f aca="false">'Income Statement'!B100*0.08</f>
        <v>576</v>
      </c>
      <c r="C24" s="19" t="n">
        <f aca="false">'Income Statement'!C100*0.08</f>
        <v>645.12</v>
      </c>
      <c r="D24" s="19" t="n">
        <f aca="false">'Income Statement'!D100*0.08</f>
        <v>741.888</v>
      </c>
      <c r="E24" s="19" t="n">
        <f aca="false">'Income Statement'!E100*0.08</f>
        <v>853.1712</v>
      </c>
      <c r="F24" s="19" t="n">
        <f aca="false">'Income Statement'!F100*0.08</f>
        <v>981.1584</v>
      </c>
    </row>
    <row r="25" customFormat="false" ht="15" hidden="false" customHeight="true" outlineLevel="1" collapsed="false">
      <c r="A25" s="1" t="s">
        <v>132</v>
      </c>
      <c r="B25" s="7" t="n">
        <v>350</v>
      </c>
      <c r="C25" s="7" t="n">
        <v>350</v>
      </c>
      <c r="D25" s="7" t="n">
        <v>350</v>
      </c>
      <c r="E25" s="7" t="n">
        <v>350</v>
      </c>
      <c r="F25" s="7" t="n">
        <v>350</v>
      </c>
    </row>
    <row r="26" customFormat="false" ht="15" hidden="false" customHeight="true" outlineLevel="0" collapsed="false">
      <c r="A26" s="8" t="s">
        <v>133</v>
      </c>
      <c r="B26" s="12" t="n">
        <f aca="false">B8+B9+B17+B23+B24+B25</f>
        <v>10156.303</v>
      </c>
      <c r="C26" s="12" t="n">
        <f aca="false">C8+C9+C17+C23+C24+C25</f>
        <v>12019.05936</v>
      </c>
      <c r="D26" s="12" t="n">
        <f aca="false">D8+D9+D17+D23+D24+D25</f>
        <v>14346.918264</v>
      </c>
      <c r="E26" s="12" t="n">
        <f aca="false">E8+E9+E17+E23+E24+E25</f>
        <v>17303.4560036</v>
      </c>
      <c r="F26" s="12" t="n">
        <f aca="false">F8+F9+F17+F23+F24+F25</f>
        <v>20698.0765302</v>
      </c>
    </row>
    <row r="28" customFormat="false" ht="15" hidden="false" customHeight="true" outlineLevel="0" collapsed="false">
      <c r="A28" s="5" t="s">
        <v>134</v>
      </c>
      <c r="B28" s="5"/>
      <c r="C28" s="5"/>
      <c r="D28" s="5"/>
      <c r="E28" s="5"/>
      <c r="F28" s="5"/>
      <c r="G28" s="5"/>
    </row>
    <row r="29" customFormat="false" ht="15" hidden="false" customHeight="true" outlineLevel="1" collapsed="false">
      <c r="A29" s="6" t="s">
        <v>135</v>
      </c>
      <c r="B29" s="6"/>
      <c r="C29" s="6"/>
      <c r="D29" s="6"/>
      <c r="E29" s="6"/>
      <c r="F29" s="6"/>
      <c r="G29" s="6"/>
    </row>
    <row r="30" customFormat="false" ht="15" hidden="false" customHeight="true" outlineLevel="1" collapsed="false">
      <c r="A30" s="1" t="s">
        <v>136</v>
      </c>
      <c r="B30" s="7" t="n">
        <v>1500</v>
      </c>
      <c r="C30" s="7" t="n">
        <v>1500</v>
      </c>
      <c r="D30" s="7" t="n">
        <v>1500</v>
      </c>
      <c r="E30" s="7" t="n">
        <v>1500</v>
      </c>
      <c r="F30" s="7" t="n">
        <v>1500</v>
      </c>
    </row>
    <row r="31" customFormat="false" ht="15" hidden="false" customHeight="true" outlineLevel="1" collapsed="false">
      <c r="A31" s="1" t="s">
        <v>137</v>
      </c>
      <c r="B31" s="7" t="n">
        <v>2500</v>
      </c>
      <c r="C31" s="7" t="n">
        <v>2700</v>
      </c>
      <c r="D31" s="7" t="n">
        <v>2900</v>
      </c>
      <c r="E31" s="7" t="n">
        <v>3100</v>
      </c>
      <c r="F31" s="7" t="n">
        <v>3300</v>
      </c>
    </row>
    <row r="32" customFormat="false" ht="15" hidden="false" customHeight="true" outlineLevel="1" collapsed="false">
      <c r="A32" s="1" t="s">
        <v>138</v>
      </c>
      <c r="B32" s="7" t="n">
        <v>3500</v>
      </c>
      <c r="C32" s="7" t="n">
        <v>3800</v>
      </c>
      <c r="D32" s="7" t="n">
        <v>4100</v>
      </c>
      <c r="E32" s="7" t="n">
        <v>4500</v>
      </c>
      <c r="F32" s="7" t="n">
        <v>5000</v>
      </c>
    </row>
    <row r="33" customFormat="false" ht="15" hidden="false" customHeight="true" outlineLevel="1" collapsed="false">
      <c r="A33" s="1" t="s">
        <v>139</v>
      </c>
      <c r="B33" s="7" t="n">
        <v>800</v>
      </c>
      <c r="C33" s="7" t="n">
        <v>950</v>
      </c>
      <c r="D33" s="7" t="n">
        <v>1100</v>
      </c>
      <c r="E33" s="7" t="n">
        <v>1300</v>
      </c>
      <c r="F33" s="7" t="n">
        <v>1500</v>
      </c>
    </row>
    <row r="34" customFormat="false" ht="15" hidden="false" customHeight="true" outlineLevel="1" collapsed="false">
      <c r="A34" s="1" t="s">
        <v>140</v>
      </c>
      <c r="B34" s="7" t="n">
        <v>700</v>
      </c>
      <c r="C34" s="7" t="n">
        <v>850</v>
      </c>
      <c r="D34" s="7" t="n">
        <v>1000</v>
      </c>
      <c r="E34" s="7" t="n">
        <v>1200</v>
      </c>
      <c r="F34" s="7" t="n">
        <v>1400</v>
      </c>
    </row>
    <row r="35" customFormat="false" ht="15" hidden="false" customHeight="true" outlineLevel="1" collapsed="false">
      <c r="A35" s="8" t="s">
        <v>141</v>
      </c>
      <c r="B35" s="9" t="n">
        <f aca="false">SUM(B30:B34)</f>
        <v>9000</v>
      </c>
      <c r="C35" s="9" t="n">
        <f aca="false">SUM(C30:C34)</f>
        <v>9800</v>
      </c>
      <c r="D35" s="9" t="n">
        <f aca="false">SUM(D30:D34)</f>
        <v>10600</v>
      </c>
      <c r="E35" s="9" t="n">
        <f aca="false">SUM(E30:E34)</f>
        <v>11600</v>
      </c>
      <c r="F35" s="9" t="n">
        <f aca="false">SUM(F30:F34)</f>
        <v>12700</v>
      </c>
    </row>
    <row r="36" customFormat="false" ht="15" hidden="false" customHeight="true" outlineLevel="1" collapsed="false">
      <c r="A36" s="1" t="s">
        <v>142</v>
      </c>
      <c r="B36" s="13" t="n">
        <f aca="false">-(B35-B30)*0.28</f>
        <v>-2100</v>
      </c>
      <c r="C36" s="13" t="n">
        <f aca="false">-(C35-C30)*0.28</f>
        <v>-2324</v>
      </c>
      <c r="D36" s="13" t="n">
        <f aca="false">-(D35-D30)*0.28</f>
        <v>-2548</v>
      </c>
      <c r="E36" s="13" t="n">
        <f aca="false">-(E35-E30)*0.28</f>
        <v>-2828</v>
      </c>
      <c r="F36" s="13" t="n">
        <f aca="false">-(F35-F30)*0.28</f>
        <v>-3136</v>
      </c>
    </row>
    <row r="37" customFormat="false" ht="15" hidden="false" customHeight="true" outlineLevel="1" collapsed="false">
      <c r="A37" s="8" t="s">
        <v>143</v>
      </c>
      <c r="B37" s="9" t="n">
        <f aca="false">B35+B36</f>
        <v>6900</v>
      </c>
      <c r="C37" s="9" t="n">
        <f aca="false">C35+C36</f>
        <v>7476</v>
      </c>
      <c r="D37" s="9" t="n">
        <f aca="false">D35+D36</f>
        <v>8052</v>
      </c>
      <c r="E37" s="9" t="n">
        <f aca="false">E35+E36</f>
        <v>8772</v>
      </c>
      <c r="F37" s="9" t="n">
        <f aca="false">F35+F36</f>
        <v>9564</v>
      </c>
    </row>
    <row r="38" customFormat="false" ht="15" hidden="false" customHeight="true" outlineLevel="1" collapsed="false">
      <c r="A38" s="1" t="s">
        <v>144</v>
      </c>
      <c r="B38" s="7" t="n">
        <v>2400</v>
      </c>
      <c r="C38" s="7" t="n">
        <v>2400</v>
      </c>
      <c r="D38" s="7" t="n">
        <v>2400</v>
      </c>
      <c r="E38" s="7" t="n">
        <v>2400</v>
      </c>
      <c r="F38" s="7" t="n">
        <v>2400</v>
      </c>
    </row>
    <row r="39" customFormat="false" ht="15" hidden="false" customHeight="true" outlineLevel="1" collapsed="false">
      <c r="A39" s="1" t="s">
        <v>145</v>
      </c>
      <c r="B39" s="7" t="n">
        <v>3200</v>
      </c>
      <c r="C39" s="7" t="n">
        <v>3200</v>
      </c>
      <c r="D39" s="7" t="n">
        <v>3200</v>
      </c>
      <c r="E39" s="7" t="n">
        <v>3200</v>
      </c>
      <c r="F39" s="7" t="n">
        <v>3200</v>
      </c>
    </row>
    <row r="40" customFormat="false" ht="15" hidden="false" customHeight="true" outlineLevel="1" collapsed="false">
      <c r="A40" s="1" t="s">
        <v>146</v>
      </c>
      <c r="B40" s="7" t="n">
        <v>180</v>
      </c>
      <c r="C40" s="7" t="n">
        <v>180</v>
      </c>
      <c r="D40" s="7" t="n">
        <v>180</v>
      </c>
      <c r="E40" s="7" t="n">
        <v>180</v>
      </c>
      <c r="F40" s="7" t="n">
        <v>180</v>
      </c>
    </row>
    <row r="41" customFormat="false" ht="15" hidden="false" customHeight="true" outlineLevel="1" collapsed="false">
      <c r="A41" s="1" t="s">
        <v>147</v>
      </c>
      <c r="B41" s="7" t="n">
        <v>450</v>
      </c>
      <c r="C41" s="7" t="n">
        <v>450</v>
      </c>
      <c r="D41" s="7" t="n">
        <v>450</v>
      </c>
      <c r="E41" s="7" t="n">
        <v>450</v>
      </c>
      <c r="F41" s="7" t="n">
        <v>450</v>
      </c>
    </row>
    <row r="42" customFormat="false" ht="15" hidden="false" customHeight="true" outlineLevel="1" collapsed="false">
      <c r="A42" s="1" t="s">
        <v>148</v>
      </c>
      <c r="B42" s="7" t="n">
        <v>220</v>
      </c>
      <c r="C42" s="7" t="n">
        <v>220</v>
      </c>
      <c r="D42" s="7" t="n">
        <v>220</v>
      </c>
      <c r="E42" s="7" t="n">
        <v>220</v>
      </c>
      <c r="F42" s="7" t="n">
        <v>220</v>
      </c>
    </row>
    <row r="43" customFormat="false" ht="15" hidden="false" customHeight="true" outlineLevel="0" collapsed="false">
      <c r="A43" s="8" t="s">
        <v>149</v>
      </c>
      <c r="B43" s="12" t="n">
        <f aca="false">B37+B38+B39+B40+B41+B42</f>
        <v>13350</v>
      </c>
      <c r="C43" s="12" t="n">
        <f aca="false">C37+C38+C39+C40+C41+C42</f>
        <v>13926</v>
      </c>
      <c r="D43" s="12" t="n">
        <f aca="false">D37+D38+D39+D40+D41+D42</f>
        <v>14502</v>
      </c>
      <c r="E43" s="12" t="n">
        <f aca="false">E37+E38+E39+E40+E41+E42</f>
        <v>15222</v>
      </c>
      <c r="F43" s="12" t="n">
        <f aca="false">F37+F38+F39+F40+F41+F42</f>
        <v>16014</v>
      </c>
    </row>
    <row r="45" customFormat="false" ht="15" hidden="false" customHeight="true" outlineLevel="0" collapsed="false">
      <c r="A45" s="11" t="s">
        <v>150</v>
      </c>
      <c r="B45" s="20" t="n">
        <f aca="false">B26+B43</f>
        <v>23506.303</v>
      </c>
      <c r="C45" s="20" t="n">
        <f aca="false">C26+C43</f>
        <v>25945.05936</v>
      </c>
      <c r="D45" s="20" t="n">
        <f aca="false">D26+D43</f>
        <v>28848.918264</v>
      </c>
      <c r="E45" s="20" t="n">
        <f aca="false">E26+E43</f>
        <v>32525.4560036</v>
      </c>
      <c r="F45" s="20" t="n">
        <f aca="false">F26+F43</f>
        <v>36712.0765302</v>
      </c>
    </row>
    <row r="47" customFormat="false" ht="15.75" hidden="false" customHeight="true" outlineLevel="0" collapsed="false">
      <c r="A47" s="18" t="s">
        <v>151</v>
      </c>
      <c r="B47" s="18"/>
      <c r="C47" s="18"/>
      <c r="D47" s="18"/>
      <c r="E47" s="18"/>
      <c r="F47" s="18"/>
      <c r="G47" s="18"/>
    </row>
    <row r="48" customFormat="false" ht="15" hidden="false" customHeight="true" outlineLevel="0" collapsed="false">
      <c r="A48" s="5" t="s">
        <v>152</v>
      </c>
      <c r="B48" s="5"/>
      <c r="C48" s="5"/>
      <c r="D48" s="5"/>
      <c r="E48" s="5"/>
      <c r="F48" s="5"/>
      <c r="G48" s="5"/>
    </row>
    <row r="49" customFormat="false" ht="15" hidden="false" customHeight="true" outlineLevel="1" collapsed="false">
      <c r="A49" s="1" t="s">
        <v>153</v>
      </c>
      <c r="B49" s="19" t="n">
        <f aca="false">'Income Statement'!B67*0.18</f>
        <v>1177.2</v>
      </c>
      <c r="C49" s="19" t="n">
        <f aca="false">'Income Statement'!C67*0.18</f>
        <v>1318.464</v>
      </c>
      <c r="D49" s="19" t="n">
        <f aca="false">'Income Statement'!D67*0.18</f>
        <v>1516.2336</v>
      </c>
      <c r="E49" s="19" t="n">
        <f aca="false">'Income Statement'!E67*0.18</f>
        <v>1743.66864</v>
      </c>
      <c r="F49" s="19" t="n">
        <f aca="false">'Income Statement'!F67*0.18</f>
        <v>2005.24248</v>
      </c>
    </row>
    <row r="50" customFormat="false" ht="15" hidden="false" customHeight="true" outlineLevel="1" collapsed="false">
      <c r="A50" s="6" t="s">
        <v>154</v>
      </c>
      <c r="B50" s="6"/>
      <c r="C50" s="6"/>
      <c r="D50" s="6"/>
      <c r="E50" s="6"/>
      <c r="F50" s="6"/>
      <c r="G50" s="6"/>
    </row>
    <row r="51" customFormat="false" ht="15" hidden="false" customHeight="true" outlineLevel="1" collapsed="false">
      <c r="A51" s="1" t="s">
        <v>155</v>
      </c>
      <c r="B51" s="19" t="n">
        <f aca="false">'Income Statement'!B100*0.07</f>
        <v>504</v>
      </c>
      <c r="C51" s="19" t="n">
        <f aca="false">'Income Statement'!C100*0.07</f>
        <v>564.48</v>
      </c>
      <c r="D51" s="19" t="n">
        <f aca="false">'Income Statement'!D100*0.07</f>
        <v>649.152</v>
      </c>
      <c r="E51" s="19" t="n">
        <f aca="false">'Income Statement'!E100*0.07</f>
        <v>746.5248</v>
      </c>
      <c r="F51" s="19" t="n">
        <f aca="false">'Income Statement'!F100*0.07</f>
        <v>858.5136</v>
      </c>
    </row>
    <row r="52" customFormat="false" ht="15" hidden="false" customHeight="true" outlineLevel="1" collapsed="false">
      <c r="A52" s="1" t="s">
        <v>156</v>
      </c>
      <c r="B52" s="19" t="n">
        <f aca="false">'Income Statement'!B48*0.02</f>
        <v>300</v>
      </c>
      <c r="C52" s="19" t="n">
        <f aca="false">'Income Statement'!C48*0.02</f>
        <v>336</v>
      </c>
      <c r="D52" s="19" t="n">
        <f aca="false">'Income Statement'!D48*0.02</f>
        <v>386.4</v>
      </c>
      <c r="E52" s="19" t="n">
        <f aca="false">'Income Statement'!E48*0.02</f>
        <v>444.36</v>
      </c>
      <c r="F52" s="19" t="n">
        <f aca="false">'Income Statement'!F48*0.02</f>
        <v>511.02</v>
      </c>
    </row>
    <row r="53" customFormat="false" ht="15" hidden="false" customHeight="true" outlineLevel="1" collapsed="false">
      <c r="A53" s="1" t="s">
        <v>157</v>
      </c>
      <c r="B53" s="19" t="n">
        <f aca="false">'Income Statement'!B100*0.04</f>
        <v>288</v>
      </c>
      <c r="C53" s="19" t="n">
        <f aca="false">'Income Statement'!C100*0.04</f>
        <v>322.56</v>
      </c>
      <c r="D53" s="19" t="n">
        <f aca="false">'Income Statement'!D100*0.04</f>
        <v>370.944</v>
      </c>
      <c r="E53" s="19" t="n">
        <f aca="false">'Income Statement'!E100*0.04</f>
        <v>426.5856</v>
      </c>
      <c r="F53" s="19" t="n">
        <f aca="false">'Income Statement'!F100*0.04</f>
        <v>490.5792</v>
      </c>
    </row>
    <row r="54" customFormat="false" ht="15" hidden="false" customHeight="true" outlineLevel="1" collapsed="false">
      <c r="A54" s="8" t="s">
        <v>158</v>
      </c>
      <c r="B54" s="9" t="n">
        <f aca="false">SUM(B51:B53)</f>
        <v>1092</v>
      </c>
      <c r="C54" s="9" t="n">
        <f aca="false">SUM(C51:C53)</f>
        <v>1223.04</v>
      </c>
      <c r="D54" s="9" t="n">
        <f aca="false">SUM(D51:D53)</f>
        <v>1406.496</v>
      </c>
      <c r="E54" s="9" t="n">
        <f aca="false">SUM(E51:E53)</f>
        <v>1617.4704</v>
      </c>
      <c r="F54" s="9" t="n">
        <f aca="false">SUM(F51:F53)</f>
        <v>1860.1128</v>
      </c>
    </row>
    <row r="55" customFormat="false" ht="15" hidden="false" customHeight="true" outlineLevel="1" collapsed="false">
      <c r="A55" s="1" t="s">
        <v>159</v>
      </c>
      <c r="B55" s="19" t="n">
        <f aca="false">'Income Statement'!B47*0.15</f>
        <v>787.5</v>
      </c>
      <c r="C55" s="19" t="n">
        <f aca="false">'Income Statement'!C47*0.15</f>
        <v>882</v>
      </c>
      <c r="D55" s="19" t="n">
        <f aca="false">'Income Statement'!D47*0.15</f>
        <v>1014.3</v>
      </c>
      <c r="E55" s="19" t="n">
        <f aca="false">'Income Statement'!E47*0.15</f>
        <v>1166.445</v>
      </c>
      <c r="F55" s="19" t="n">
        <f aca="false">'Income Statement'!F47*0.15</f>
        <v>1341.4275</v>
      </c>
    </row>
    <row r="56" customFormat="false" ht="15" hidden="false" customHeight="true" outlineLevel="1" collapsed="false">
      <c r="A56" s="1" t="s">
        <v>160</v>
      </c>
      <c r="B56" s="7" t="n">
        <v>500</v>
      </c>
      <c r="C56" s="7" t="n">
        <v>500</v>
      </c>
      <c r="D56" s="7" t="n">
        <v>500</v>
      </c>
      <c r="E56" s="7" t="n">
        <v>500</v>
      </c>
      <c r="F56" s="7" t="n">
        <v>500</v>
      </c>
    </row>
    <row r="57" customFormat="false" ht="15" hidden="false" customHeight="true" outlineLevel="1" collapsed="false">
      <c r="A57" s="1" t="s">
        <v>161</v>
      </c>
      <c r="B57" s="7" t="n">
        <v>180</v>
      </c>
      <c r="C57" s="7" t="n">
        <v>180</v>
      </c>
      <c r="D57" s="7" t="n">
        <v>180</v>
      </c>
      <c r="E57" s="7" t="n">
        <v>180</v>
      </c>
      <c r="F57" s="7" t="n">
        <v>180</v>
      </c>
    </row>
    <row r="58" customFormat="false" ht="15" hidden="false" customHeight="true" outlineLevel="0" collapsed="false">
      <c r="A58" s="8" t="s">
        <v>162</v>
      </c>
      <c r="B58" s="12" t="n">
        <f aca="false">B49+B54+B55+B56+B57</f>
        <v>3736.7</v>
      </c>
      <c r="C58" s="12" t="n">
        <f aca="false">C49+C54+C55+C56+C57</f>
        <v>4103.504</v>
      </c>
      <c r="D58" s="12" t="n">
        <f aca="false">D49+D54+D55+D56+D57</f>
        <v>4617.0296</v>
      </c>
      <c r="E58" s="12" t="n">
        <f aca="false">E49+E54+E55+E56+E57</f>
        <v>5207.58404</v>
      </c>
      <c r="F58" s="12" t="n">
        <f aca="false">F49+F54+F55+F56+F57</f>
        <v>5886.78278</v>
      </c>
    </row>
    <row r="60" customFormat="false" ht="15" hidden="false" customHeight="true" outlineLevel="0" collapsed="false">
      <c r="A60" s="5" t="s">
        <v>163</v>
      </c>
      <c r="B60" s="5"/>
      <c r="C60" s="5"/>
      <c r="D60" s="5"/>
      <c r="E60" s="5"/>
      <c r="F60" s="5"/>
      <c r="G60" s="5"/>
    </row>
    <row r="61" customFormat="false" ht="15" hidden="false" customHeight="true" outlineLevel="1" collapsed="false">
      <c r="A61" s="6" t="s">
        <v>164</v>
      </c>
      <c r="B61" s="6"/>
      <c r="C61" s="6"/>
      <c r="D61" s="6"/>
      <c r="E61" s="6"/>
      <c r="F61" s="6"/>
      <c r="G61" s="6"/>
    </row>
    <row r="62" customFormat="false" ht="15" hidden="false" customHeight="true" outlineLevel="1" collapsed="false">
      <c r="A62" s="1" t="s">
        <v>165</v>
      </c>
      <c r="B62" s="7" t="n">
        <v>4000</v>
      </c>
      <c r="C62" s="7" t="n">
        <v>3700</v>
      </c>
      <c r="D62" s="7" t="n">
        <v>3400</v>
      </c>
      <c r="E62" s="7" t="n">
        <v>3100</v>
      </c>
      <c r="F62" s="7" t="n">
        <v>2800</v>
      </c>
    </row>
    <row r="63" customFormat="false" ht="15" hidden="false" customHeight="true" outlineLevel="1" collapsed="false">
      <c r="A63" s="1" t="s">
        <v>166</v>
      </c>
      <c r="B63" s="7" t="n">
        <v>2000</v>
      </c>
      <c r="C63" s="7" t="n">
        <v>1800</v>
      </c>
      <c r="D63" s="7" t="n">
        <v>1600</v>
      </c>
      <c r="E63" s="7" t="n">
        <v>1400</v>
      </c>
      <c r="F63" s="7" t="n">
        <v>1200</v>
      </c>
    </row>
    <row r="64" customFormat="false" ht="15" hidden="false" customHeight="true" outlineLevel="1" collapsed="false">
      <c r="A64" s="1" t="s">
        <v>167</v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</row>
    <row r="65" customFormat="false" ht="15" hidden="false" customHeight="true" outlineLevel="1" collapsed="false">
      <c r="A65" s="8" t="s">
        <v>168</v>
      </c>
      <c r="B65" s="9" t="n">
        <f aca="false">SUM(B62:B64)</f>
        <v>6000</v>
      </c>
      <c r="C65" s="9" t="n">
        <f aca="false">SUM(C62:C64)</f>
        <v>5500</v>
      </c>
      <c r="D65" s="9" t="n">
        <f aca="false">SUM(D62:D64)</f>
        <v>5000</v>
      </c>
      <c r="E65" s="9" t="n">
        <f aca="false">SUM(E62:E64)</f>
        <v>4500</v>
      </c>
      <c r="F65" s="9" t="n">
        <f aca="false">SUM(F62:F64)</f>
        <v>4000</v>
      </c>
    </row>
    <row r="66" customFormat="false" ht="15" hidden="false" customHeight="true" outlineLevel="1" collapsed="false">
      <c r="A66" s="1" t="s">
        <v>169</v>
      </c>
      <c r="B66" s="7" t="n">
        <v>450</v>
      </c>
      <c r="C66" s="7" t="n">
        <v>450</v>
      </c>
      <c r="D66" s="7" t="n">
        <v>450</v>
      </c>
      <c r="E66" s="7" t="n">
        <v>450</v>
      </c>
      <c r="F66" s="7" t="n">
        <v>450</v>
      </c>
    </row>
    <row r="67" customFormat="false" ht="15" hidden="false" customHeight="true" outlineLevel="1" collapsed="false">
      <c r="A67" s="1" t="s">
        <v>170</v>
      </c>
      <c r="B67" s="7" t="n">
        <v>320</v>
      </c>
      <c r="C67" s="7" t="n">
        <v>320</v>
      </c>
      <c r="D67" s="7" t="n">
        <v>320</v>
      </c>
      <c r="E67" s="7" t="n">
        <v>320</v>
      </c>
      <c r="F67" s="7" t="n">
        <v>320</v>
      </c>
    </row>
    <row r="68" customFormat="false" ht="15" hidden="false" customHeight="true" outlineLevel="1" collapsed="false">
      <c r="A68" s="1" t="s">
        <v>171</v>
      </c>
      <c r="B68" s="7" t="n">
        <v>275</v>
      </c>
      <c r="C68" s="7" t="n">
        <v>275</v>
      </c>
      <c r="D68" s="7" t="n">
        <v>275</v>
      </c>
      <c r="E68" s="7" t="n">
        <v>275</v>
      </c>
      <c r="F68" s="7" t="n">
        <v>275</v>
      </c>
    </row>
    <row r="69" customFormat="false" ht="15" hidden="false" customHeight="true" outlineLevel="0" collapsed="false">
      <c r="A69" s="8" t="s">
        <v>172</v>
      </c>
      <c r="B69" s="12" t="n">
        <f aca="false">B65+B66+B67+B68</f>
        <v>7045</v>
      </c>
      <c r="C69" s="12" t="n">
        <f aca="false">C65+C66+C67+C68</f>
        <v>6545</v>
      </c>
      <c r="D69" s="12" t="n">
        <f aca="false">D65+D66+D67+D68</f>
        <v>6045</v>
      </c>
      <c r="E69" s="12" t="n">
        <f aca="false">E65+E66+E67+E68</f>
        <v>5545</v>
      </c>
      <c r="F69" s="12" t="n">
        <f aca="false">F65+F66+F67+F68</f>
        <v>5045</v>
      </c>
    </row>
    <row r="71" customFormat="false" ht="15" hidden="false" customHeight="true" outlineLevel="0" collapsed="false">
      <c r="A71" s="8" t="s">
        <v>173</v>
      </c>
      <c r="B71" s="12" t="n">
        <f aca="false">B58+B69</f>
        <v>10781.7</v>
      </c>
      <c r="C71" s="12" t="n">
        <f aca="false">C58+C69</f>
        <v>10648.504</v>
      </c>
      <c r="D71" s="12" t="n">
        <f aca="false">D58+D69</f>
        <v>10662.0296</v>
      </c>
      <c r="E71" s="12" t="n">
        <f aca="false">E58+E69</f>
        <v>10752.58404</v>
      </c>
      <c r="F71" s="12" t="n">
        <f aca="false">F58+F69</f>
        <v>10931.78278</v>
      </c>
    </row>
    <row r="73" customFormat="false" ht="15" hidden="false" customHeight="true" outlineLevel="0" collapsed="false">
      <c r="A73" s="5" t="s">
        <v>174</v>
      </c>
      <c r="B73" s="5"/>
      <c r="C73" s="5"/>
      <c r="D73" s="5"/>
      <c r="E73" s="5"/>
      <c r="F73" s="5"/>
      <c r="G73" s="5"/>
    </row>
    <row r="74" customFormat="false" ht="15" hidden="false" customHeight="true" outlineLevel="1" collapsed="false">
      <c r="A74" s="1" t="s">
        <v>175</v>
      </c>
      <c r="B74" s="7" t="n">
        <v>1000</v>
      </c>
      <c r="C74" s="7" t="n">
        <v>1000</v>
      </c>
      <c r="D74" s="7" t="n">
        <v>1000</v>
      </c>
      <c r="E74" s="7" t="n">
        <v>1000</v>
      </c>
      <c r="F74" s="7" t="n">
        <v>1000</v>
      </c>
    </row>
    <row r="75" customFormat="false" ht="15" hidden="false" customHeight="true" outlineLevel="1" collapsed="false">
      <c r="A75" s="1" t="s">
        <v>176</v>
      </c>
      <c r="B75" s="7" t="n">
        <v>5000</v>
      </c>
      <c r="C75" s="7" t="n">
        <v>5000</v>
      </c>
      <c r="D75" s="7" t="n">
        <v>5000</v>
      </c>
      <c r="E75" s="7" t="n">
        <v>5000</v>
      </c>
      <c r="F75" s="7" t="n">
        <v>5000</v>
      </c>
    </row>
    <row r="76" customFormat="false" ht="15" hidden="false" customHeight="true" outlineLevel="1" collapsed="false">
      <c r="A76" s="1" t="s">
        <v>177</v>
      </c>
      <c r="B76" s="7" t="n">
        <v>2500</v>
      </c>
      <c r="C76" s="19" t="n">
        <f aca="false">B76+'Income Statement'!C116</f>
        <v>3338.348</v>
      </c>
      <c r="D76" s="19" t="n">
        <f aca="false">C76+'Income Statement'!D116</f>
        <v>4343.9232</v>
      </c>
      <c r="E76" s="19" t="n">
        <f aca="false">D76+'Income Statement'!E116</f>
        <v>5541.80968</v>
      </c>
      <c r="F76" s="19" t="n">
        <f aca="false">E76+'Income Statement'!F116</f>
        <v>6960.87404</v>
      </c>
    </row>
    <row r="77" customFormat="false" ht="15" hidden="false" customHeight="true" outlineLevel="1" collapsed="false">
      <c r="A77" s="1" t="s">
        <v>178</v>
      </c>
      <c r="B77" s="7" t="n">
        <v>120</v>
      </c>
      <c r="C77" s="7" t="n">
        <v>120</v>
      </c>
      <c r="D77" s="7" t="n">
        <v>120</v>
      </c>
      <c r="E77" s="7" t="n">
        <v>120</v>
      </c>
      <c r="F77" s="7" t="n">
        <v>120</v>
      </c>
    </row>
    <row r="78" customFormat="false" ht="15" hidden="false" customHeight="true" outlineLevel="1" collapsed="false">
      <c r="A78" s="1" t="s">
        <v>179</v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</row>
    <row r="79" customFormat="false" ht="15" hidden="false" customHeight="true" outlineLevel="0" collapsed="false">
      <c r="A79" s="8" t="s">
        <v>180</v>
      </c>
      <c r="B79" s="14" t="n">
        <f aca="false">SUM(B74:B78)</f>
        <v>8620</v>
      </c>
      <c r="C79" s="14" t="n">
        <f aca="false">SUM(C74:C78)</f>
        <v>9458.348</v>
      </c>
      <c r="D79" s="14" t="n">
        <f aca="false">SUM(D74:D78)</f>
        <v>10463.9232</v>
      </c>
      <c r="E79" s="14" t="n">
        <f aca="false">SUM(E74:E78)</f>
        <v>11661.80968</v>
      </c>
      <c r="F79" s="14" t="n">
        <f aca="false">SUM(F74:F78)</f>
        <v>13080.87404</v>
      </c>
    </row>
    <row r="81" customFormat="false" ht="15" hidden="false" customHeight="true" outlineLevel="0" collapsed="false">
      <c r="A81" s="11" t="s">
        <v>181</v>
      </c>
      <c r="B81" s="20" t="n">
        <f aca="false">B71+B79</f>
        <v>19401.7</v>
      </c>
      <c r="C81" s="20" t="n">
        <f aca="false">C71+C79</f>
        <v>20106.852</v>
      </c>
      <c r="D81" s="20" t="n">
        <f aca="false">D71+D79</f>
        <v>21125.9528</v>
      </c>
      <c r="E81" s="20" t="n">
        <f aca="false">E71+E79</f>
        <v>22414.39372</v>
      </c>
      <c r="F81" s="20" t="n">
        <f aca="false">F71+F79</f>
        <v>24012.65682</v>
      </c>
    </row>
    <row r="83" customFormat="false" ht="15" hidden="false" customHeight="true" outlineLevel="0" collapsed="false">
      <c r="A83" s="22" t="s">
        <v>182</v>
      </c>
      <c r="B83" s="23" t="n">
        <f aca="false">B45-B81</f>
        <v>4104.603</v>
      </c>
      <c r="C83" s="23" t="n">
        <f aca="false">C45-C81</f>
        <v>5838.20736</v>
      </c>
      <c r="D83" s="23" t="n">
        <f aca="false">D45-D81</f>
        <v>7722.965464</v>
      </c>
      <c r="E83" s="23" t="n">
        <f aca="false">E45-E81</f>
        <v>10111.0622836</v>
      </c>
      <c r="F83" s="23" t="n">
        <f aca="false">F45-F81</f>
        <v>12699.4197102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1" width="42"/>
    <col collapsed="false" customWidth="true" hidden="false" outlineLevel="0" max="6" min="2" style="1" width="16"/>
  </cols>
  <sheetData>
    <row r="1" customFormat="false" ht="15.75" hidden="false" customHeight="true" outlineLevel="0" collapsed="false">
      <c r="A1" s="2" t="s">
        <v>183</v>
      </c>
      <c r="B1" s="2"/>
      <c r="C1" s="2"/>
      <c r="D1" s="2"/>
      <c r="E1" s="2"/>
      <c r="F1" s="2"/>
      <c r="G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</row>
    <row r="6" customFormat="false" ht="15" hidden="false" customHeight="true" outlineLevel="0" collapsed="false">
      <c r="A6" s="5" t="s">
        <v>184</v>
      </c>
      <c r="B6" s="5"/>
      <c r="C6" s="5"/>
      <c r="D6" s="5"/>
      <c r="E6" s="5"/>
      <c r="F6" s="5"/>
      <c r="G6" s="5"/>
    </row>
    <row r="7" customFormat="false" ht="15" hidden="false" customHeight="true" outlineLevel="1" collapsed="false">
      <c r="A7" s="1" t="s">
        <v>185</v>
      </c>
      <c r="B7" s="19" t="n">
        <f aca="false">'Income Statement'!B116</f>
        <v>718.9</v>
      </c>
      <c r="C7" s="19" t="n">
        <f aca="false">'Income Statement'!C116</f>
        <v>838.348000000001</v>
      </c>
      <c r="D7" s="19" t="n">
        <f aca="false">'Income Statement'!D116</f>
        <v>1005.5752</v>
      </c>
      <c r="E7" s="19" t="n">
        <f aca="false">'Income Statement'!E116</f>
        <v>1197.88648</v>
      </c>
      <c r="F7" s="19" t="n">
        <f aca="false">'Income Statement'!F116</f>
        <v>1419.06436</v>
      </c>
    </row>
    <row r="8" customFormat="false" ht="15" hidden="false" customHeight="true" outlineLevel="1" collapsed="false">
      <c r="A8" s="6" t="s">
        <v>186</v>
      </c>
      <c r="B8" s="6"/>
      <c r="C8" s="6"/>
      <c r="D8" s="6"/>
      <c r="E8" s="6"/>
      <c r="F8" s="6"/>
      <c r="G8" s="6"/>
    </row>
    <row r="9" customFormat="false" ht="15" hidden="false" customHeight="true" outlineLevel="1" collapsed="false">
      <c r="A9" s="1" t="s">
        <v>187</v>
      </c>
      <c r="B9" s="19" t="n">
        <f aca="false">-'Balance Sheet'!B36</f>
        <v>2100</v>
      </c>
      <c r="C9" s="19" t="n">
        <f aca="false">-'Balance Sheet'!C36</f>
        <v>2324</v>
      </c>
      <c r="D9" s="19" t="n">
        <f aca="false">-'Balance Sheet'!D36</f>
        <v>2548</v>
      </c>
      <c r="E9" s="19" t="n">
        <f aca="false">-'Balance Sheet'!E36</f>
        <v>2828</v>
      </c>
      <c r="F9" s="19" t="n">
        <f aca="false">-'Balance Sheet'!F36</f>
        <v>3136</v>
      </c>
    </row>
    <row r="10" customFormat="false" ht="15" hidden="false" customHeight="true" outlineLevel="1" collapsed="false">
      <c r="A10" s="1" t="s">
        <v>188</v>
      </c>
      <c r="B10" s="7" t="n">
        <v>35</v>
      </c>
      <c r="C10" s="7" t="n">
        <v>35</v>
      </c>
      <c r="D10" s="7" t="n">
        <v>35</v>
      </c>
      <c r="E10" s="7" t="n">
        <v>35</v>
      </c>
      <c r="F10" s="7" t="n">
        <v>35</v>
      </c>
    </row>
    <row r="11" customFormat="false" ht="15" hidden="false" customHeight="true" outlineLevel="1" collapsed="false">
      <c r="A11" s="1" t="s">
        <v>189</v>
      </c>
      <c r="B11" s="7" t="n">
        <v>180</v>
      </c>
      <c r="C11" s="7" t="n">
        <v>180</v>
      </c>
      <c r="D11" s="7" t="n">
        <v>180</v>
      </c>
      <c r="E11" s="7" t="n">
        <v>180</v>
      </c>
      <c r="F11" s="7" t="n">
        <v>180</v>
      </c>
    </row>
    <row r="12" customFormat="false" ht="15" hidden="false" customHeight="true" outlineLevel="1" collapsed="false">
      <c r="A12" s="1" t="s">
        <v>190</v>
      </c>
      <c r="B12" s="7" t="n">
        <v>45</v>
      </c>
      <c r="C12" s="7" t="n">
        <v>45</v>
      </c>
      <c r="D12" s="7" t="n">
        <v>45</v>
      </c>
      <c r="E12" s="7" t="n">
        <v>45</v>
      </c>
      <c r="F12" s="7" t="n">
        <v>45</v>
      </c>
    </row>
    <row r="13" customFormat="false" ht="15" hidden="false" customHeight="true" outlineLevel="1" collapsed="false">
      <c r="A13" s="1" t="s">
        <v>191</v>
      </c>
      <c r="B13" s="7" t="n">
        <v>25</v>
      </c>
      <c r="C13" s="7" t="n">
        <v>25</v>
      </c>
      <c r="D13" s="7" t="n">
        <v>25</v>
      </c>
      <c r="E13" s="7" t="n">
        <v>25</v>
      </c>
      <c r="F13" s="7" t="n">
        <v>25</v>
      </c>
    </row>
    <row r="14" customFormat="false" ht="15" hidden="false" customHeight="true" outlineLevel="1" collapsed="false">
      <c r="A14" s="6" t="s">
        <v>192</v>
      </c>
      <c r="B14" s="6"/>
      <c r="C14" s="6"/>
      <c r="D14" s="6"/>
      <c r="E14" s="6"/>
      <c r="F14" s="6"/>
      <c r="G14" s="6"/>
    </row>
    <row r="15" customFormat="false" ht="15" hidden="false" customHeight="true" outlineLevel="1" collapsed="false">
      <c r="A15" s="1" t="s">
        <v>193</v>
      </c>
      <c r="B15" s="24" t="n">
        <v>0</v>
      </c>
      <c r="C15" s="19" t="n">
        <f aca="false">-('Balance Sheet'!C17-'Balance Sheet'!B17)</f>
        <v>-325.2816</v>
      </c>
      <c r="D15" s="19" t="n">
        <f aca="false">-('Balance Sheet'!D17-'Balance Sheet'!C17)</f>
        <v>-455.39424</v>
      </c>
      <c r="E15" s="19" t="n">
        <f aca="false">-('Balance Sheet'!E17-'Balance Sheet'!D17)</f>
        <v>-523.703376</v>
      </c>
      <c r="F15" s="19" t="n">
        <f aca="false">-('Balance Sheet'!F17-'Balance Sheet'!E17)</f>
        <v>-602.313096</v>
      </c>
    </row>
    <row r="16" customFormat="false" ht="15" hidden="false" customHeight="true" outlineLevel="1" collapsed="false">
      <c r="A16" s="1" t="s">
        <v>194</v>
      </c>
      <c r="B16" s="24" t="n">
        <v>0</v>
      </c>
      <c r="C16" s="19" t="n">
        <f aca="false">-('Balance Sheet'!C23-'Balance Sheet'!B23)</f>
        <v>-218.35476</v>
      </c>
      <c r="D16" s="19" t="n">
        <f aca="false">-('Balance Sheet'!D23-'Balance Sheet'!C23)</f>
        <v>-305.696664000001</v>
      </c>
      <c r="E16" s="19" t="n">
        <f aca="false">-('Balance Sheet'!E23-'Balance Sheet'!D23)</f>
        <v>-351.5511636</v>
      </c>
      <c r="F16" s="19" t="n">
        <f aca="false">-('Balance Sheet'!F23-'Balance Sheet'!E23)</f>
        <v>-404.320230599999</v>
      </c>
    </row>
    <row r="17" customFormat="false" ht="15" hidden="false" customHeight="true" outlineLevel="1" collapsed="false">
      <c r="A17" s="1" t="s">
        <v>195</v>
      </c>
      <c r="B17" s="24" t="n">
        <v>0</v>
      </c>
      <c r="C17" s="19" t="n">
        <f aca="false">-('Balance Sheet'!C24-'Balance Sheet'!B24)</f>
        <v>-69.12</v>
      </c>
      <c r="D17" s="19" t="n">
        <f aca="false">-('Balance Sheet'!D24-'Balance Sheet'!C24)</f>
        <v>-96.768</v>
      </c>
      <c r="E17" s="19" t="n">
        <f aca="false">-('Balance Sheet'!E24-'Balance Sheet'!D24)</f>
        <v>-111.2832</v>
      </c>
      <c r="F17" s="19" t="n">
        <f aca="false">-('Balance Sheet'!F24-'Balance Sheet'!E24)</f>
        <v>-127.9872</v>
      </c>
    </row>
    <row r="18" customFormat="false" ht="15" hidden="false" customHeight="true" outlineLevel="1" collapsed="false">
      <c r="A18" s="1" t="s">
        <v>196</v>
      </c>
      <c r="B18" s="24" t="n">
        <v>0</v>
      </c>
      <c r="C18" s="19" t="n">
        <f aca="false">-('Balance Sheet'!C25-'Balance Sheet'!B25)</f>
        <v>-0</v>
      </c>
      <c r="D18" s="19" t="n">
        <f aca="false">-('Balance Sheet'!D25-'Balance Sheet'!C25)</f>
        <v>-0</v>
      </c>
      <c r="E18" s="19" t="n">
        <f aca="false">-('Balance Sheet'!E25-'Balance Sheet'!D25)</f>
        <v>-0</v>
      </c>
      <c r="F18" s="19" t="n">
        <f aca="false">-('Balance Sheet'!F25-'Balance Sheet'!E25)</f>
        <v>-0</v>
      </c>
    </row>
    <row r="19" customFormat="false" ht="15" hidden="false" customHeight="true" outlineLevel="1" collapsed="false">
      <c r="A19" s="1" t="s">
        <v>197</v>
      </c>
      <c r="B19" s="24" t="n">
        <v>0</v>
      </c>
      <c r="C19" s="19" t="n">
        <f aca="false">'Balance Sheet'!C49-'Balance Sheet'!B49</f>
        <v>141.264</v>
      </c>
      <c r="D19" s="19" t="n">
        <f aca="false">'Balance Sheet'!D49-'Balance Sheet'!C49</f>
        <v>197.7696</v>
      </c>
      <c r="E19" s="19" t="n">
        <f aca="false">'Balance Sheet'!E49-'Balance Sheet'!D49</f>
        <v>227.43504</v>
      </c>
      <c r="F19" s="19" t="n">
        <f aca="false">'Balance Sheet'!F49-'Balance Sheet'!E49</f>
        <v>261.57384</v>
      </c>
    </row>
    <row r="20" customFormat="false" ht="15" hidden="false" customHeight="true" outlineLevel="1" collapsed="false">
      <c r="A20" s="1" t="s">
        <v>198</v>
      </c>
      <c r="B20" s="24" t="n">
        <v>0</v>
      </c>
      <c r="C20" s="19" t="n">
        <f aca="false">'Balance Sheet'!C54-'Balance Sheet'!B54</f>
        <v>131.04</v>
      </c>
      <c r="D20" s="19" t="n">
        <f aca="false">'Balance Sheet'!D54-'Balance Sheet'!C54</f>
        <v>183.456</v>
      </c>
      <c r="E20" s="19" t="n">
        <f aca="false">'Balance Sheet'!E54-'Balance Sheet'!D54</f>
        <v>210.9744</v>
      </c>
      <c r="F20" s="19" t="n">
        <f aca="false">'Balance Sheet'!F54-'Balance Sheet'!E54</f>
        <v>242.6424</v>
      </c>
    </row>
    <row r="21" customFormat="false" ht="15" hidden="false" customHeight="true" outlineLevel="1" collapsed="false">
      <c r="A21" s="1" t="s">
        <v>199</v>
      </c>
      <c r="B21" s="24" t="n">
        <v>0</v>
      </c>
      <c r="C21" s="19" t="n">
        <f aca="false">'Balance Sheet'!C55-'Balance Sheet'!B55</f>
        <v>94.5</v>
      </c>
      <c r="D21" s="19" t="n">
        <f aca="false">'Balance Sheet'!D55-'Balance Sheet'!C55</f>
        <v>132.3</v>
      </c>
      <c r="E21" s="19" t="n">
        <f aca="false">'Balance Sheet'!E55-'Balance Sheet'!D55</f>
        <v>152.145</v>
      </c>
      <c r="F21" s="19" t="n">
        <f aca="false">'Balance Sheet'!F55-'Balance Sheet'!E55</f>
        <v>174.9825</v>
      </c>
    </row>
    <row r="22" customFormat="false" ht="15" hidden="false" customHeight="true" outlineLevel="0" collapsed="false">
      <c r="A22" s="8" t="s">
        <v>200</v>
      </c>
      <c r="B22" s="14" t="n">
        <f aca="false">SUM(B7:B21)</f>
        <v>3103.9</v>
      </c>
      <c r="C22" s="14" t="n">
        <f aca="false">SUM(C7:C21)</f>
        <v>3201.39564</v>
      </c>
      <c r="D22" s="14" t="n">
        <f aca="false">SUM(D7:D21)</f>
        <v>3494.241896</v>
      </c>
      <c r="E22" s="14" t="n">
        <f aca="false">SUM(E7:E21)</f>
        <v>3914.9031804</v>
      </c>
      <c r="F22" s="14" t="n">
        <f aca="false">SUM(F7:F21)</f>
        <v>4384.6425734</v>
      </c>
    </row>
    <row r="24" customFormat="false" ht="15" hidden="false" customHeight="true" outlineLevel="0" collapsed="false">
      <c r="A24" s="5" t="s">
        <v>201</v>
      </c>
      <c r="B24" s="5"/>
      <c r="C24" s="5"/>
      <c r="D24" s="5"/>
      <c r="E24" s="5"/>
      <c r="F24" s="5"/>
      <c r="G24" s="5"/>
    </row>
    <row r="25" customFormat="false" ht="15" hidden="false" customHeight="true" outlineLevel="1" collapsed="false">
      <c r="A25" s="6" t="s">
        <v>202</v>
      </c>
      <c r="B25" s="6"/>
      <c r="C25" s="6"/>
      <c r="D25" s="6"/>
      <c r="E25" s="6"/>
      <c r="F25" s="6"/>
      <c r="G25" s="6"/>
    </row>
    <row r="26" customFormat="false" ht="15" hidden="false" customHeight="true" outlineLevel="1" collapsed="false">
      <c r="A26" s="1" t="s">
        <v>203</v>
      </c>
      <c r="B26" s="24" t="n">
        <v>0</v>
      </c>
      <c r="C26" s="19" t="n">
        <f aca="false">-('Balance Sheet'!C31-'Balance Sheet'!B31)</f>
        <v>-200</v>
      </c>
      <c r="D26" s="19" t="n">
        <f aca="false">-('Balance Sheet'!D31-'Balance Sheet'!C31)</f>
        <v>-200</v>
      </c>
      <c r="E26" s="19" t="n">
        <f aca="false">-('Balance Sheet'!E31-'Balance Sheet'!D31)</f>
        <v>-200</v>
      </c>
      <c r="F26" s="19" t="n">
        <f aca="false">-('Balance Sheet'!F31-'Balance Sheet'!E31)</f>
        <v>-200</v>
      </c>
    </row>
    <row r="27" customFormat="false" ht="15" hidden="false" customHeight="true" outlineLevel="1" collapsed="false">
      <c r="A27" s="1" t="s">
        <v>204</v>
      </c>
      <c r="B27" s="24" t="n">
        <v>0</v>
      </c>
      <c r="C27" s="19" t="n">
        <f aca="false">-('Balance Sheet'!C32-'Balance Sheet'!B32)</f>
        <v>-300</v>
      </c>
      <c r="D27" s="19" t="n">
        <f aca="false">-('Balance Sheet'!D32-'Balance Sheet'!C32)</f>
        <v>-300</v>
      </c>
      <c r="E27" s="19" t="n">
        <f aca="false">-('Balance Sheet'!E32-'Balance Sheet'!D32)</f>
        <v>-400</v>
      </c>
      <c r="F27" s="19" t="n">
        <f aca="false">-('Balance Sheet'!F32-'Balance Sheet'!E32)</f>
        <v>-500</v>
      </c>
    </row>
    <row r="28" customFormat="false" ht="15" hidden="false" customHeight="true" outlineLevel="1" collapsed="false">
      <c r="A28" s="1" t="s">
        <v>205</v>
      </c>
      <c r="B28" s="24" t="n">
        <v>0</v>
      </c>
      <c r="C28" s="19" t="n">
        <f aca="false">-('Balance Sheet'!C33-'Balance Sheet'!B33)</f>
        <v>-150</v>
      </c>
      <c r="D28" s="19" t="n">
        <f aca="false">-('Balance Sheet'!D33-'Balance Sheet'!C33)</f>
        <v>-150</v>
      </c>
      <c r="E28" s="19" t="n">
        <f aca="false">-('Balance Sheet'!E33-'Balance Sheet'!D33)</f>
        <v>-200</v>
      </c>
      <c r="F28" s="19" t="n">
        <f aca="false">-('Balance Sheet'!F33-'Balance Sheet'!E33)</f>
        <v>-200</v>
      </c>
    </row>
    <row r="29" customFormat="false" ht="15" hidden="false" customHeight="true" outlineLevel="1" collapsed="false">
      <c r="A29" s="1" t="s">
        <v>206</v>
      </c>
      <c r="B29" s="24" t="n">
        <v>0</v>
      </c>
      <c r="C29" s="19" t="n">
        <f aca="false">-('Balance Sheet'!C34-'Balance Sheet'!B34)</f>
        <v>-150</v>
      </c>
      <c r="D29" s="19" t="n">
        <f aca="false">-('Balance Sheet'!D34-'Balance Sheet'!C34)</f>
        <v>-150</v>
      </c>
      <c r="E29" s="19" t="n">
        <f aca="false">-('Balance Sheet'!E34-'Balance Sheet'!D34)</f>
        <v>-200</v>
      </c>
      <c r="F29" s="19" t="n">
        <f aca="false">-('Balance Sheet'!F34-'Balance Sheet'!E34)</f>
        <v>-200</v>
      </c>
    </row>
    <row r="30" customFormat="false" ht="15" hidden="false" customHeight="true" outlineLevel="1" collapsed="false">
      <c r="A30" s="8" t="s">
        <v>207</v>
      </c>
      <c r="B30" s="9" t="n">
        <f aca="false">SUM(B26:B29)</f>
        <v>0</v>
      </c>
      <c r="C30" s="9" t="n">
        <f aca="false">SUM(C26:C29)</f>
        <v>-800</v>
      </c>
      <c r="D30" s="9" t="n">
        <f aca="false">SUM(D26:D29)</f>
        <v>-800</v>
      </c>
      <c r="E30" s="9" t="n">
        <f aca="false">SUM(E26:E29)</f>
        <v>-1000</v>
      </c>
      <c r="F30" s="9" t="n">
        <f aca="false">SUM(F26:F29)</f>
        <v>-1100</v>
      </c>
    </row>
    <row r="31" customFormat="false" ht="15" hidden="false" customHeight="true" outlineLevel="1" collapsed="false">
      <c r="A31" s="1" t="s">
        <v>208</v>
      </c>
      <c r="B31" s="24" t="n">
        <v>0</v>
      </c>
      <c r="C31" s="19" t="n">
        <f aca="false">-('Balance Sheet'!C9-'Balance Sheet'!B9)</f>
        <v>-300</v>
      </c>
      <c r="D31" s="19" t="n">
        <f aca="false">-('Balance Sheet'!D9-'Balance Sheet'!C9)</f>
        <v>-300</v>
      </c>
      <c r="E31" s="19" t="n">
        <f aca="false">-('Balance Sheet'!E9-'Balance Sheet'!D9)</f>
        <v>-400</v>
      </c>
      <c r="F31" s="19" t="n">
        <f aca="false">-('Balance Sheet'!F9-'Balance Sheet'!E9)</f>
        <v>-500</v>
      </c>
    </row>
    <row r="32" customFormat="false" ht="15" hidden="false" customHeight="true" outlineLevel="1" collapsed="false">
      <c r="A32" s="1" t="s">
        <v>209</v>
      </c>
      <c r="B32" s="24" t="n">
        <v>0</v>
      </c>
      <c r="C32" s="24" t="n">
        <v>0</v>
      </c>
      <c r="D32" s="24" t="n">
        <v>0</v>
      </c>
      <c r="E32" s="24" t="n">
        <v>0</v>
      </c>
      <c r="F32" s="24" t="n">
        <v>0</v>
      </c>
    </row>
    <row r="33" customFormat="false" ht="15" hidden="false" customHeight="true" outlineLevel="1" collapsed="false">
      <c r="A33" s="1" t="s">
        <v>210</v>
      </c>
      <c r="B33" s="24" t="n">
        <v>0</v>
      </c>
      <c r="C33" s="24" t="n">
        <v>0</v>
      </c>
      <c r="D33" s="24" t="n">
        <v>0</v>
      </c>
      <c r="E33" s="24" t="n">
        <v>0</v>
      </c>
      <c r="F33" s="24" t="n">
        <v>0</v>
      </c>
    </row>
    <row r="34" customFormat="false" ht="15" hidden="false" customHeight="true" outlineLevel="1" collapsed="false">
      <c r="A34" s="1" t="s">
        <v>211</v>
      </c>
      <c r="B34" s="24" t="n">
        <v>0</v>
      </c>
      <c r="C34" s="24" t="n">
        <v>0</v>
      </c>
      <c r="D34" s="24" t="n">
        <v>0</v>
      </c>
      <c r="E34" s="24" t="n">
        <v>0</v>
      </c>
      <c r="F34" s="24" t="n">
        <v>0</v>
      </c>
    </row>
    <row r="35" customFormat="false" ht="15" hidden="false" customHeight="true" outlineLevel="0" collapsed="false">
      <c r="A35" s="8" t="s">
        <v>212</v>
      </c>
      <c r="B35" s="12" t="n">
        <f aca="false">B30+B31+B32+B33+B34</f>
        <v>0</v>
      </c>
      <c r="C35" s="12" t="n">
        <f aca="false">C30+C31+C32+C33+C34</f>
        <v>-1100</v>
      </c>
      <c r="D35" s="12" t="n">
        <f aca="false">D30+D31+D32+D33+D34</f>
        <v>-1100</v>
      </c>
      <c r="E35" s="12" t="n">
        <f aca="false">E30+E31+E32+E33+E34</f>
        <v>-1400</v>
      </c>
      <c r="F35" s="12" t="n">
        <f aca="false">F30+F31+F32+F33+F34</f>
        <v>-1600</v>
      </c>
    </row>
    <row r="37" customFormat="false" ht="15" hidden="false" customHeight="true" outlineLevel="0" collapsed="false">
      <c r="A37" s="5" t="s">
        <v>213</v>
      </c>
      <c r="B37" s="5"/>
      <c r="C37" s="5"/>
      <c r="D37" s="5"/>
      <c r="E37" s="5"/>
      <c r="F37" s="5"/>
      <c r="G37" s="5"/>
    </row>
    <row r="38" customFormat="false" ht="15" hidden="false" customHeight="true" outlineLevel="1" collapsed="false">
      <c r="A38" s="6" t="s">
        <v>214</v>
      </c>
      <c r="B38" s="6"/>
      <c r="C38" s="6"/>
      <c r="D38" s="6"/>
      <c r="E38" s="6"/>
      <c r="F38" s="6"/>
      <c r="G38" s="6"/>
    </row>
    <row r="39" customFormat="false" ht="15" hidden="false" customHeight="true" outlineLevel="1" collapsed="false">
      <c r="A39" s="1" t="s">
        <v>215</v>
      </c>
      <c r="B39" s="24" t="n">
        <v>0</v>
      </c>
      <c r="C39" s="24" t="n">
        <v>0</v>
      </c>
      <c r="D39" s="24" t="n">
        <v>0</v>
      </c>
      <c r="E39" s="24" t="n">
        <v>0</v>
      </c>
      <c r="F39" s="24" t="n">
        <v>0</v>
      </c>
    </row>
    <row r="40" customFormat="false" ht="15" hidden="false" customHeight="true" outlineLevel="1" collapsed="false">
      <c r="A40" s="1" t="s">
        <v>216</v>
      </c>
      <c r="B40" s="24" t="n">
        <v>0</v>
      </c>
      <c r="C40" s="19" t="n">
        <f aca="false">'Balance Sheet'!C62-'Balance Sheet'!B62</f>
        <v>-300</v>
      </c>
      <c r="D40" s="19" t="n">
        <f aca="false">'Balance Sheet'!D62-'Balance Sheet'!C62</f>
        <v>-300</v>
      </c>
      <c r="E40" s="19" t="n">
        <f aca="false">'Balance Sheet'!E62-'Balance Sheet'!D62</f>
        <v>-300</v>
      </c>
      <c r="F40" s="19" t="n">
        <f aca="false">'Balance Sheet'!F62-'Balance Sheet'!E62</f>
        <v>-300</v>
      </c>
    </row>
    <row r="41" customFormat="false" ht="15" hidden="false" customHeight="true" outlineLevel="1" collapsed="false">
      <c r="A41" s="1" t="s">
        <v>217</v>
      </c>
      <c r="B41" s="24" t="n">
        <v>0</v>
      </c>
      <c r="C41" s="24" t="n">
        <v>0</v>
      </c>
      <c r="D41" s="24" t="n">
        <v>0</v>
      </c>
      <c r="E41" s="24" t="n">
        <v>0</v>
      </c>
      <c r="F41" s="24" t="n">
        <v>0</v>
      </c>
    </row>
    <row r="42" customFormat="false" ht="15" hidden="false" customHeight="true" outlineLevel="1" collapsed="false">
      <c r="A42" s="1" t="s">
        <v>218</v>
      </c>
      <c r="B42" s="24" t="n">
        <v>0</v>
      </c>
      <c r="C42" s="19" t="n">
        <f aca="false">'Balance Sheet'!C63-'Balance Sheet'!B63</f>
        <v>-200</v>
      </c>
      <c r="D42" s="19" t="n">
        <f aca="false">'Balance Sheet'!D63-'Balance Sheet'!C63</f>
        <v>-200</v>
      </c>
      <c r="E42" s="19" t="n">
        <f aca="false">'Balance Sheet'!E63-'Balance Sheet'!D63</f>
        <v>-200</v>
      </c>
      <c r="F42" s="19" t="n">
        <f aca="false">'Balance Sheet'!F63-'Balance Sheet'!E63</f>
        <v>-200</v>
      </c>
    </row>
    <row r="43" customFormat="false" ht="15" hidden="false" customHeight="true" outlineLevel="1" collapsed="false">
      <c r="A43" s="1" t="s">
        <v>219</v>
      </c>
      <c r="B43" s="24" t="n">
        <v>0</v>
      </c>
      <c r="C43" s="19" t="n">
        <f aca="false">'Balance Sheet'!C64-'Balance Sheet'!B64</f>
        <v>0</v>
      </c>
      <c r="D43" s="19" t="n">
        <f aca="false">'Balance Sheet'!D64-'Balance Sheet'!C64</f>
        <v>0</v>
      </c>
      <c r="E43" s="19" t="n">
        <f aca="false">'Balance Sheet'!E64-'Balance Sheet'!D64</f>
        <v>0</v>
      </c>
      <c r="F43" s="19" t="n">
        <f aca="false">'Balance Sheet'!F64-'Balance Sheet'!E64</f>
        <v>0</v>
      </c>
    </row>
    <row r="44" customFormat="false" ht="15" hidden="false" customHeight="true" outlineLevel="1" collapsed="false">
      <c r="A44" s="1" t="s">
        <v>220</v>
      </c>
      <c r="B44" s="24" t="n">
        <v>0</v>
      </c>
      <c r="C44" s="24" t="n">
        <v>0</v>
      </c>
      <c r="D44" s="24" t="n">
        <v>0</v>
      </c>
      <c r="E44" s="24" t="n">
        <v>0</v>
      </c>
      <c r="F44" s="24" t="n">
        <v>0</v>
      </c>
    </row>
    <row r="45" customFormat="false" ht="15" hidden="false" customHeight="true" outlineLevel="1" collapsed="false">
      <c r="A45" s="6" t="s">
        <v>221</v>
      </c>
      <c r="B45" s="6"/>
      <c r="C45" s="6"/>
      <c r="D45" s="6"/>
      <c r="E45" s="6"/>
      <c r="F45" s="6"/>
      <c r="G45" s="6"/>
    </row>
    <row r="46" customFormat="false" ht="15" hidden="false" customHeight="true" outlineLevel="1" collapsed="false">
      <c r="A46" s="1" t="s">
        <v>222</v>
      </c>
      <c r="B46" s="24" t="n">
        <v>0</v>
      </c>
      <c r="C46" s="24" t="n">
        <v>0</v>
      </c>
      <c r="D46" s="24" t="n">
        <v>0</v>
      </c>
      <c r="E46" s="24" t="n">
        <v>0</v>
      </c>
      <c r="F46" s="24" t="n">
        <v>0</v>
      </c>
    </row>
    <row r="47" customFormat="false" ht="15" hidden="false" customHeight="true" outlineLevel="1" collapsed="false">
      <c r="A47" s="1" t="s">
        <v>223</v>
      </c>
      <c r="B47" s="24" t="n">
        <v>0</v>
      </c>
      <c r="C47" s="24" t="n">
        <v>0</v>
      </c>
      <c r="D47" s="24" t="n">
        <v>0</v>
      </c>
      <c r="E47" s="24" t="n">
        <v>0</v>
      </c>
      <c r="F47" s="24" t="n">
        <v>0</v>
      </c>
    </row>
    <row r="48" customFormat="false" ht="15" hidden="false" customHeight="true" outlineLevel="1" collapsed="false">
      <c r="A48" s="1" t="s">
        <v>224</v>
      </c>
      <c r="B48" s="24" t="n">
        <v>0</v>
      </c>
      <c r="C48" s="24" t="n">
        <v>0</v>
      </c>
      <c r="D48" s="24" t="n">
        <v>0</v>
      </c>
      <c r="E48" s="24" t="n">
        <v>0</v>
      </c>
      <c r="F48" s="24" t="n">
        <v>0</v>
      </c>
    </row>
    <row r="49" customFormat="false" ht="15" hidden="false" customHeight="true" outlineLevel="1" collapsed="false">
      <c r="A49" s="1" t="s">
        <v>225</v>
      </c>
      <c r="B49" s="24" t="n">
        <v>0</v>
      </c>
      <c r="C49" s="24" t="n">
        <v>0</v>
      </c>
      <c r="D49" s="24" t="n">
        <v>0</v>
      </c>
      <c r="E49" s="24" t="n">
        <v>0</v>
      </c>
      <c r="F49" s="24" t="n">
        <v>0</v>
      </c>
    </row>
    <row r="50" customFormat="false" ht="15" hidden="false" customHeight="true" outlineLevel="0" collapsed="false">
      <c r="A50" s="8" t="s">
        <v>226</v>
      </c>
      <c r="B50" s="12" t="n">
        <f aca="false">SUM(B39:B49)</f>
        <v>0</v>
      </c>
      <c r="C50" s="12" t="n">
        <f aca="false">SUM(C39:C49)</f>
        <v>-500</v>
      </c>
      <c r="D50" s="12" t="n">
        <f aca="false">SUM(D39:D49)</f>
        <v>-500</v>
      </c>
      <c r="E50" s="12" t="n">
        <f aca="false">SUM(E39:E49)</f>
        <v>-500</v>
      </c>
      <c r="F50" s="12" t="n">
        <f aca="false">SUM(F39:F49)</f>
        <v>-500</v>
      </c>
    </row>
    <row r="52" customFormat="false" ht="15" hidden="false" customHeight="true" outlineLevel="0" collapsed="false">
      <c r="A52" s="8" t="s">
        <v>227</v>
      </c>
      <c r="B52" s="10" t="n">
        <f aca="false">B22+B35+B50</f>
        <v>3103.9</v>
      </c>
      <c r="C52" s="10" t="n">
        <f aca="false">C22+C35+C50</f>
        <v>1601.39564</v>
      </c>
      <c r="D52" s="10" t="n">
        <f aca="false">D22+D35+D50</f>
        <v>1894.241896</v>
      </c>
      <c r="E52" s="10" t="n">
        <f aca="false">E22+E35+E50</f>
        <v>2014.9031804</v>
      </c>
      <c r="F52" s="10" t="n">
        <f aca="false">F22+F35+F50</f>
        <v>2284.6425734</v>
      </c>
    </row>
    <row r="53" customFormat="false" ht="15" hidden="false" customHeight="true" outlineLevel="0" collapsed="false">
      <c r="A53" s="1" t="s">
        <v>228</v>
      </c>
      <c r="B53" s="19" t="n">
        <f aca="false">'Balance Sheet'!B8</f>
        <v>3200</v>
      </c>
      <c r="C53" s="19" t="n">
        <f aca="false">'Cash Flow'!B54</f>
        <v>6303.9</v>
      </c>
      <c r="D53" s="19" t="n">
        <f aca="false">'Cash Flow'!C54</f>
        <v>7905.29564</v>
      </c>
      <c r="E53" s="19" t="n">
        <f aca="false">'Cash Flow'!D54</f>
        <v>9799.537536</v>
      </c>
      <c r="F53" s="19" t="n">
        <f aca="false">'Cash Flow'!E54</f>
        <v>11814.4407164</v>
      </c>
    </row>
    <row r="54" customFormat="false" ht="15" hidden="false" customHeight="true" outlineLevel="0" collapsed="false">
      <c r="A54" s="8" t="s">
        <v>229</v>
      </c>
      <c r="B54" s="20" t="n">
        <f aca="false">B53+B52</f>
        <v>6303.9</v>
      </c>
      <c r="C54" s="20" t="n">
        <f aca="false">C53+C52</f>
        <v>7905.29564</v>
      </c>
      <c r="D54" s="20" t="n">
        <f aca="false">D53+D52</f>
        <v>9799.537536</v>
      </c>
      <c r="E54" s="20" t="n">
        <f aca="false">E53+E52</f>
        <v>11814.4407164</v>
      </c>
      <c r="F54" s="20" t="n">
        <f aca="false">F53+F52</f>
        <v>14099.0832898</v>
      </c>
    </row>
    <row r="56" customFormat="false" ht="15" hidden="false" customHeight="true" outlineLevel="0" collapsed="false">
      <c r="A56" s="22" t="s">
        <v>230</v>
      </c>
      <c r="B56" s="23" t="n">
        <f aca="false">'Balance Sheet'!B8-B54</f>
        <v>-3103.9</v>
      </c>
      <c r="C56" s="23" t="n">
        <f aca="false">'Balance Sheet'!C8-C54</f>
        <v>-3755.29564</v>
      </c>
      <c r="D56" s="23" t="n">
        <f aca="false">'Balance Sheet'!D8-D54</f>
        <v>-4479.537536</v>
      </c>
      <c r="E56" s="23" t="n">
        <f aca="false">'Balance Sheet'!E8-E54</f>
        <v>-4924.4407164</v>
      </c>
      <c r="F56" s="23" t="n">
        <f aca="false">'Balance Sheet'!F8-F54</f>
        <v>-5449.0832898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2025-11-21T05:33:11Z</dcterms:created>
  <dc:creator>openpyxl</dc:creator>
  <dc:description/>
  <dc:language>en-US</dc:language>
  <cp:lastModifiedBy/>
  <dcterms:modified xsi:type="dcterms:W3CDTF">2025-11-21T05:46:03Z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